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pa" sheetId="1" state="visible" r:id="rId1"/>
    <sheet xmlns:r="http://schemas.openxmlformats.org/officeDocument/2006/relationships" name="2. Inputs" sheetId="2" state="visible" r:id="rId2"/>
    <sheet xmlns:r="http://schemas.openxmlformats.org/officeDocument/2006/relationships" name="3. Depreciacao" sheetId="3" state="visible" r:id="rId3"/>
    <sheet xmlns:r="http://schemas.openxmlformats.org/officeDocument/2006/relationships" name="4. DRE" sheetId="4" state="visible" r:id="rId4"/>
    <sheet xmlns:r="http://schemas.openxmlformats.org/officeDocument/2006/relationships" name="5. Fluxo de Caixa" sheetId="5" state="visible" r:id="rId5"/>
    <sheet xmlns:r="http://schemas.openxmlformats.org/officeDocument/2006/relationships" name="6. Valuation" sheetId="6" state="visible" r:id="rId6"/>
    <sheet xmlns:r="http://schemas.openxmlformats.org/officeDocument/2006/relationships" name="7. Cenarios e Sensibilidade" sheetId="7" state="visible" r:id="rId7"/>
    <sheet xmlns:r="http://schemas.openxmlformats.org/officeDocument/2006/relationships" name="8. Motor de Cenarios" sheetId="8" state="visible" r:id="rId8"/>
    <sheet xmlns:r="http://schemas.openxmlformats.org/officeDocument/2006/relationships" name="9. Ponte EBITDA" sheetId="9" state="visible" r:id="rId9"/>
    <sheet xmlns:r="http://schemas.openxmlformats.org/officeDocument/2006/relationships" name="10.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;(#,##0);&quot;-&quot;"/>
    <numFmt numFmtId="165" formatCode="0.0%;(0.0%);&quot;-&quot;"/>
    <numFmt numFmtId="166" formatCode="0.0000"/>
    <numFmt numFmtId="167" formatCode="0.00%;(0.00%);&quot;-&quot;"/>
    <numFmt numFmtId="168" formatCode="#,##0.00;(#,##0.00);&quot;-&quot;"/>
    <numFmt numFmtId="169" formatCode="#,##0.0"/>
    <numFmt numFmtId="170" formatCode="0.0&quot; anos&quot;"/>
    <numFmt numFmtId="171" formatCode="0.00&quot;x&quot;"/>
    <numFmt numFmtId="172" formatCode="0.0"/>
  </numFmts>
  <fonts count="3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595959"/>
      <sz val="9"/>
    </font>
    <font>
      <name val="Arial"/>
      <b val="1"/>
      <color rgb="000000FF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864"/>
      <sz val="11"/>
    </font>
    <font>
      <name val="Arial"/>
      <b val="1"/>
      <color rgb="000000FF"/>
      <sz val="12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color rgb="00595959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0000FF"/>
      <sz val="11"/>
    </font>
    <font>
      <name val="Arial"/>
      <b val="1"/>
      <color rgb="000000FF"/>
      <sz val="10"/>
    </font>
    <font>
      <name val="Arial"/>
      <b val="1"/>
      <color rgb="00000000"/>
      <sz val="11"/>
    </font>
    <font>
      <name val="Arial"/>
      <b val="1"/>
      <color rgb="00595959"/>
      <sz val="10"/>
    </font>
    <font>
      <name val="Arial"/>
      <b val="1"/>
      <color rgb="001F3864"/>
      <sz val="9"/>
    </font>
    <font>
      <name val="Arial"/>
      <color rgb="00000000"/>
      <sz val="9"/>
    </font>
    <font>
      <name val="Arial"/>
      <color rgb="00595959"/>
      <sz val="9"/>
    </font>
    <font>
      <name val="Arial"/>
      <color rgb="00595959"/>
      <sz val="8"/>
    </font>
    <font>
      <name val="Arial"/>
      <i val="1"/>
      <color rgb="00595959"/>
      <sz val="8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b val="1"/>
      <color rgb="001F3864"/>
      <sz val="20"/>
    </font>
    <font>
      <name val="Arial"/>
      <color rgb="00595959"/>
      <sz val="12"/>
    </font>
    <font>
      <name val="Arial"/>
      <color rgb="00008000"/>
      <sz val="9"/>
    </font>
    <font>
      <name val="Arial"/>
      <b val="1"/>
      <color rgb="00008000"/>
      <sz val="10"/>
    </font>
    <font>
      <name val="Arial"/>
      <color theme="1"/>
      <sz val="11"/>
    </font>
    <font>
      <name val="Arial"/>
      <b val="1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404040"/>
      </top>
    </border>
    <border>
      <top style="thin">
        <color rgb="00404040"/>
      </top>
      <bottom style="double">
        <color rgb="0040404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2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9" fillId="0" borderId="0" pivotButton="0" quotePrefix="0" xfId="0"/>
    <xf numFmtId="0" fontId="9" fillId="3" borderId="0" applyAlignment="1" pivotButton="0" quotePrefix="0" xfId="0">
      <alignment horizontal="center"/>
    </xf>
    <xf numFmtId="0" fontId="9" fillId="0" borderId="2" pivotButton="0" quotePrefix="0" xfId="0"/>
    <xf numFmtId="0" fontId="0" fillId="0" borderId="2" pivotButton="0" quotePrefix="0" xfId="0"/>
    <xf numFmtId="49" fontId="9" fillId="3" borderId="2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0" fontId="10" fillId="0" borderId="0" pivotButton="0" quotePrefix="0" xfId="0"/>
    <xf numFmtId="164" fontId="11" fillId="0" borderId="0" pivotButton="0" quotePrefix="0" xfId="0"/>
    <xf numFmtId="164" fontId="12" fillId="0" borderId="0" pivotButton="0" quotePrefix="0" xfId="0"/>
    <xf numFmtId="165" fontId="10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165" fontId="0" fillId="0" borderId="0" pivotButton="0" quotePrefix="0" xfId="0"/>
    <xf numFmtId="165" fontId="13" fillId="0" borderId="0" pivotButton="0" quotePrefix="0" xfId="0"/>
    <xf numFmtId="166" fontId="14" fillId="0" borderId="0" pivotButton="0" quotePrefix="0" xfId="0"/>
    <xf numFmtId="166" fontId="13" fillId="0" borderId="0" pivotButton="0" quotePrefix="0" xfId="0"/>
    <xf numFmtId="167" fontId="14" fillId="0" borderId="0" pivotButton="0" quotePrefix="0" xfId="0"/>
    <xf numFmtId="167" fontId="14" fillId="2" borderId="0" pivotButton="0" quotePrefix="0" xfId="0"/>
    <xf numFmtId="165" fontId="14" fillId="0" borderId="0" pivotButton="0" quotePrefix="0" xfId="0"/>
    <xf numFmtId="165" fontId="14" fillId="2" borderId="0" pivotButton="0" quotePrefix="0" xfId="0"/>
    <xf numFmtId="0" fontId="15" fillId="2" borderId="1" applyAlignment="1" pivotButton="0" quotePrefix="0" xfId="0">
      <alignment horizontal="center"/>
    </xf>
    <xf numFmtId="168" fontId="14" fillId="0" borderId="0" pivotButton="0" quotePrefix="0" xfId="0"/>
    <xf numFmtId="168" fontId="14" fillId="2" borderId="0" pivotButton="0" quotePrefix="0" xfId="0"/>
    <xf numFmtId="168" fontId="13" fillId="0" borderId="0" pivotButton="0" quotePrefix="0" xfId="0"/>
    <xf numFmtId="164" fontId="14" fillId="0" borderId="0" pivotButton="0" quotePrefix="0" xfId="0"/>
    <xf numFmtId="165" fontId="10" fillId="2" borderId="0" pivotButton="0" quotePrefix="0" xfId="0"/>
    <xf numFmtId="164" fontId="16" fillId="0" borderId="0" pivotButton="0" quotePrefix="0" xfId="0"/>
    <xf numFmtId="164" fontId="10" fillId="0" borderId="0" pivotButton="0" quotePrefix="0" xfId="0"/>
    <xf numFmtId="169" fontId="14" fillId="0" borderId="0" pivotButton="0" quotePrefix="0" xfId="0"/>
    <xf numFmtId="2" fontId="14" fillId="2" borderId="0" pivotButton="0" quotePrefix="0" xfId="0"/>
    <xf numFmtId="2" fontId="10" fillId="0" borderId="0" pivotButton="0" quotePrefix="0" xfId="0"/>
    <xf numFmtId="167" fontId="10" fillId="0" borderId="0" pivotButton="0" quotePrefix="0" xfId="0"/>
    <xf numFmtId="167" fontId="17" fillId="0" borderId="0" pivotButton="0" quotePrefix="0" xfId="0"/>
    <xf numFmtId="1" fontId="14" fillId="0" borderId="0" pivotButton="0" quotePrefix="0" xfId="0"/>
    <xf numFmtId="0" fontId="14" fillId="0" borderId="0" pivotButton="0" quotePrefix="0" xfId="0"/>
    <xf numFmtId="0" fontId="9" fillId="3" borderId="1" pivotButton="0" quotePrefix="0" xfId="0"/>
    <xf numFmtId="0" fontId="14" fillId="0" borderId="0" applyAlignment="1" pivotButton="0" quotePrefix="0" xfId="0">
      <alignment horizontal="center"/>
    </xf>
    <xf numFmtId="168" fontId="10" fillId="0" borderId="0" pivotButton="0" quotePrefix="0" xfId="0"/>
    <xf numFmtId="168" fontId="13" fillId="0" borderId="2" pivotButton="0" quotePrefix="0" xfId="0"/>
    <xf numFmtId="168" fontId="13" fillId="0" borderId="3" pivotButton="0" quotePrefix="0" xfId="0"/>
    <xf numFmtId="164" fontId="13" fillId="0" borderId="2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center"/>
    </xf>
    <xf numFmtId="165" fontId="11" fillId="0" borderId="0" pivotButton="0" quotePrefix="0" xfId="0"/>
    <xf numFmtId="165" fontId="12" fillId="0" borderId="0" pivotButton="0" quotePrefix="0" xfId="0"/>
    <xf numFmtId="165" fontId="18" fillId="0" borderId="0" pivotButton="0" quotePrefix="0" xfId="0"/>
    <xf numFmtId="0" fontId="13" fillId="4" borderId="0" pivotButton="0" quotePrefix="0" xfId="0"/>
    <xf numFmtId="0" fontId="2" fillId="4" borderId="0" pivotButton="0" quotePrefix="0" xfId="0"/>
    <xf numFmtId="164" fontId="13" fillId="4" borderId="2" pivotButton="0" quotePrefix="0" xfId="0"/>
    <xf numFmtId="164" fontId="13" fillId="0" borderId="3" pivotButton="0" quotePrefix="0" xfId="0"/>
    <xf numFmtId="164" fontId="13" fillId="4" borderId="3" pivotButton="0" quotePrefix="0" xfId="0"/>
    <xf numFmtId="166" fontId="10" fillId="0" borderId="0" pivotButton="0" quotePrefix="0" xfId="0"/>
    <xf numFmtId="164" fontId="17" fillId="4" borderId="1" pivotButton="0" quotePrefix="0" xfId="0"/>
    <xf numFmtId="164" fontId="17" fillId="0" borderId="0" pivotButton="0" quotePrefix="0" xfId="0"/>
    <xf numFmtId="165" fontId="17" fillId="4" borderId="1" pivotButton="0" quotePrefix="0" xfId="0"/>
    <xf numFmtId="170" fontId="10" fillId="0" borderId="0" pivotButton="0" quotePrefix="0" xfId="0"/>
    <xf numFmtId="171" fontId="10" fillId="0" borderId="0" pivotButton="0" quotePrefix="0" xfId="0"/>
    <xf numFmtId="164" fontId="17" fillId="0" borderId="3" pivotButton="0" quotePrefix="0" xfId="0"/>
    <xf numFmtId="0" fontId="23" fillId="0" borderId="0" pivotButton="0" quotePrefix="0" xfId="0"/>
    <xf numFmtId="0" fontId="19" fillId="3" borderId="1" applyAlignment="1" pivotButton="0" quotePrefix="0" xfId="0">
      <alignment horizontal="center" vertical="center" wrapText="1"/>
    </xf>
    <xf numFmtId="0" fontId="20" fillId="0" borderId="0" pivotButton="0" quotePrefix="0" xfId="0"/>
    <xf numFmtId="165" fontId="20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72" fontId="5" fillId="0" borderId="0" pivotButton="0" quotePrefix="0" xfId="0"/>
    <xf numFmtId="164" fontId="20" fillId="0" borderId="0" pivotButton="0" quotePrefix="0" xfId="0"/>
    <xf numFmtId="172" fontId="20" fillId="0" borderId="0" pivotButton="0" quotePrefix="0" xfId="0"/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166" fontId="21" fillId="0" borderId="0" pivotButton="0" quotePrefix="0" xfId="0"/>
    <xf numFmtId="166" fontId="20" fillId="0" borderId="0" pivotButton="0" quotePrefix="0" xfId="0"/>
    <xf numFmtId="168" fontId="20" fillId="0" borderId="0" pivotButton="0" quotePrefix="0" xfId="0"/>
    <xf numFmtId="164" fontId="5" fillId="0" borderId="2" pivotButton="0" quotePrefix="0" xfId="0"/>
    <xf numFmtId="164" fontId="22" fillId="0" borderId="0" pivotButton="0" quotePrefix="0" xfId="0"/>
    <xf numFmtId="0" fontId="9" fillId="3" borderId="1" applyAlignment="1" pivotButton="0" quotePrefix="0" xfId="0">
      <alignment horizontal="left"/>
    </xf>
    <xf numFmtId="0" fontId="9" fillId="3" borderId="1" applyAlignment="1" pivotButton="0" quotePrefix="0" xfId="0">
      <alignment horizontal="center"/>
    </xf>
    <xf numFmtId="164" fontId="10" fillId="0" borderId="2" pivotButton="0" quotePrefix="0" xfId="0"/>
    <xf numFmtId="164" fontId="12" fillId="0" borderId="2" pivotButton="0" quotePrefix="0" xfId="0"/>
    <xf numFmtId="172" fontId="10" fillId="0" borderId="0" pivotButton="0" quotePrefix="0" xfId="0"/>
    <xf numFmtId="172" fontId="12" fillId="0" borderId="0" pivotButton="0" quotePrefix="0" xfId="0"/>
    <xf numFmtId="0" fontId="12" fillId="0" borderId="0" pivotButton="0" quotePrefix="0" xfId="0"/>
    <xf numFmtId="167" fontId="14" fillId="3" borderId="0" pivotButton="0" quotePrefix="0" xfId="0"/>
    <xf numFmtId="0" fontId="24" fillId="0" borderId="0" pivotButton="0" quotePrefix="0" xfId="0"/>
    <xf numFmtId="165" fontId="14" fillId="3" borderId="0" applyAlignment="1" pivotButton="0" quotePrefix="0" xfId="0">
      <alignment horizontal="center"/>
    </xf>
    <xf numFmtId="168" fontId="11" fillId="0" borderId="0" pivotButton="0" quotePrefix="0" xfId="0"/>
    <xf numFmtId="0" fontId="13" fillId="0" borderId="0" applyAlignment="1" pivotButton="0" quotePrefix="0" xfId="0">
      <alignment horizontal="center"/>
    </xf>
    <xf numFmtId="164" fontId="13" fillId="4" borderId="1" pivotButton="0" quotePrefix="0" xfId="0"/>
    <xf numFmtId="0" fontId="25" fillId="0" borderId="0" pivotButton="0" quotePrefix="0" xfId="0"/>
    <xf numFmtId="0" fontId="25" fillId="2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10" fillId="0" borderId="1" pivotButton="0" quotePrefix="0" xfId="0"/>
    <xf numFmtId="167" fontId="10" fillId="0" borderId="1" pivotButton="0" quotePrefix="0" xfId="0"/>
    <xf numFmtId="0" fontId="13" fillId="0" borderId="1" applyAlignment="1" pivotButton="0" quotePrefix="0" xfId="0">
      <alignment horizontal="center"/>
    </xf>
    <xf numFmtId="0" fontId="21" fillId="0" borderId="1" applyAlignment="1" pivotButton="0" quotePrefix="0" xfId="0">
      <alignment vertical="top" wrapText="1"/>
    </xf>
    <xf numFmtId="168" fontId="10" fillId="0" borderId="1" pivotButton="0" quotePrefix="0" xfId="0"/>
    <xf numFmtId="164" fontId="10" fillId="0" borderId="1" pivotButton="0" quotePrefix="0" xfId="0"/>
    <xf numFmtId="1" fontId="10" fillId="0" borderId="1" pivotButton="0" quotePrefix="0" xfId="0"/>
    <xf numFmtId="0" fontId="26" fillId="0" borderId="0" pivotButton="0" quotePrefix="0" xfId="0"/>
    <xf numFmtId="0" fontId="27" fillId="0" borderId="0" pivotButton="0" quotePrefix="0" xfId="0"/>
    <xf numFmtId="0" fontId="8" fillId="0" borderId="0" pivotButton="0" quotePrefix="0" xfId="0"/>
    <xf numFmtId="167" fontId="17" fillId="4" borderId="1" pivotButton="0" quotePrefix="0" xfId="0"/>
    <xf numFmtId="170" fontId="17" fillId="4" borderId="1" pivotButton="0" quotePrefix="0" xfId="0"/>
    <xf numFmtId="0" fontId="17" fillId="2" borderId="1" pivotButton="0" quotePrefix="0" xfId="0"/>
    <xf numFmtId="0" fontId="13" fillId="0" borderId="1" pivotButton="0" quotePrefix="0" xfId="0"/>
    <xf numFmtId="0" fontId="20" fillId="0" borderId="1" applyAlignment="1" pivotButton="0" quotePrefix="0" xfId="0">
      <alignment vertical="top" wrapText="1"/>
    </xf>
    <xf numFmtId="0" fontId="0" fillId="0" borderId="1" pivotButton="0" quotePrefix="0" xfId="0"/>
    <xf numFmtId="0" fontId="28" fillId="0" borderId="1" pivotButton="0" quotePrefix="0" xfId="0"/>
    <xf numFmtId="0" fontId="29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30" fillId="0" borderId="0" pivotButton="0" quotePrefix="0" xfId="0"/>
    <xf numFmtId="0" fontId="30" fillId="0" borderId="6" pivotButton="0" quotePrefix="0" xfId="0"/>
    <xf numFmtId="0" fontId="30" fillId="0" borderId="7" pivotButton="0" quotePrefix="0" xfId="0"/>
    <xf numFmtId="0" fontId="30" fillId="0" borderId="2" pivotButton="0" quotePrefix="0" xfId="0"/>
    <xf numFmtId="0" fontId="30" fillId="3" borderId="0" pivotButton="0" quotePrefix="0" xfId="0"/>
    <xf numFmtId="165" fontId="30" fillId="0" borderId="0" pivotButton="0" quotePrefix="0" xfId="0"/>
    <xf numFmtId="2" fontId="10" fillId="0" borderId="1" pivotButton="0" quotePrefix="0" xfId="0"/>
    <xf numFmtId="164" fontId="31" fillId="4" borderId="1" pivotButton="0" quotePrefix="0" xfId="0"/>
    <xf numFmtId="165" fontId="31" fillId="4" borderId="1" pivotButton="0" quotePrefix="0" xfId="0"/>
    <xf numFmtId="167" fontId="31" fillId="4" borderId="1" pivotButton="0" quotePrefix="0" xfId="0"/>
    <xf numFmtId="170" fontId="31" fillId="4" borderId="1" pivotButton="0" quotePrefix="0" xfId="0"/>
    <xf numFmtId="0" fontId="31" fillId="2" borderId="1" pivotButton="0" quotePrefix="0" xfId="0"/>
    <xf numFmtId="164" fontId="11" fillId="0" borderId="2" pivotButton="0" quotePrefix="0" xfId="0"/>
    <xf numFmtId="172" fontId="11" fillId="0" borderId="0" pivotButton="0" quotePrefix="0" xfId="0"/>
    <xf numFmtId="164" fontId="29" fillId="0" borderId="0" pivotButton="0" quotePrefix="0" xfId="0"/>
    <xf numFmtId="164" fontId="29" fillId="0" borderId="2" pivotButton="0" quotePrefix="0" xfId="0"/>
    <xf numFmtId="168" fontId="11" fillId="0" borderId="1" pivotButton="0" quotePrefix="0" xfId="0"/>
    <xf numFmtId="164" fontId="11" fillId="0" borderId="1" pivotButton="0" quotePrefix="0" xfId="0"/>
    <xf numFmtId="2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64" customWidth="1" min="7" max="7"/>
  </cols>
  <sheetData>
    <row r="1">
      <c r="A1" s="122" t="n"/>
      <c r="B1" s="122" t="n"/>
      <c r="C1" s="122" t="n"/>
      <c r="D1" s="122" t="n"/>
      <c r="E1" s="122" t="n"/>
      <c r="F1" s="122" t="n"/>
      <c r="G1" s="122" t="n"/>
    </row>
    <row r="2">
      <c r="A2" s="122" t="n"/>
      <c r="B2" s="109" t="inlineStr">
        <is>
          <t>DA ENGENHARIA AO CASO DE INVESTIMENTO</t>
        </is>
      </c>
      <c r="C2" s="122" t="n"/>
      <c r="D2" s="122" t="n"/>
      <c r="E2" s="122" t="n"/>
      <c r="F2" s="122" t="n"/>
      <c r="G2" s="122" t="n"/>
    </row>
    <row r="3">
      <c r="A3" s="122" t="n"/>
      <c r="B3" s="110" t="inlineStr">
        <is>
          <t>Planta de doce de leite · 2024–2033 · modelo financeiro em padrão FP&amp;A</t>
        </is>
      </c>
      <c r="C3" s="122" t="n"/>
      <c r="D3" s="122" t="n"/>
      <c r="E3" s="122" t="n"/>
      <c r="F3" s="122" t="n"/>
      <c r="G3" s="122" t="n"/>
    </row>
    <row r="4">
      <c r="A4" s="122" t="n"/>
      <c r="B4" s="122" t="n"/>
      <c r="C4" s="122" t="n"/>
      <c r="D4" s="122" t="n"/>
      <c r="E4" s="122" t="n"/>
      <c r="F4" s="122" t="n"/>
      <c r="G4" s="122" t="n"/>
    </row>
    <row r="5">
      <c r="A5" s="122" t="n"/>
      <c r="B5" s="52" t="inlineStr">
        <is>
          <t>Projeto de conclusão de Engenharia de Alimentos (UNICAMP) relido como caso de investimento. A planilha original tem 27 abas de engenharia — balanço de massa, mapa de ocupação, APPCC — e nenhuma DRE. Este modelo não refaz a engenharia: consome os resultados dela como premissa e constrói em cima a camada que um comitê de investimento espera ver.</t>
        </is>
      </c>
    </row>
    <row r="6">
      <c r="A6" s="122" t="n"/>
    </row>
    <row r="7">
      <c r="A7" s="122" t="n"/>
    </row>
    <row r="8">
      <c r="A8" s="122" t="n"/>
      <c r="B8" s="122" t="n"/>
      <c r="C8" s="122" t="n"/>
      <c r="D8" s="122" t="n"/>
      <c r="E8" s="122" t="n"/>
      <c r="F8" s="122" t="n"/>
      <c r="G8" s="122" t="n"/>
    </row>
    <row r="9">
      <c r="A9" s="122" t="n"/>
      <c r="B9" s="98" t="inlineStr">
        <is>
          <t>RESULTADO — CENÁRIO ATIVO</t>
        </is>
      </c>
      <c r="C9" s="122" t="n"/>
      <c r="D9" s="111">
        <f>'2. Inputs'!D5</f>
        <v/>
      </c>
      <c r="E9" s="122" t="n"/>
      <c r="F9" s="122" t="n"/>
      <c r="G9" s="122" t="n"/>
    </row>
    <row r="10">
      <c r="A10" s="122" t="n"/>
      <c r="B10" s="17" t="inlineStr">
        <is>
          <t>VPL @ WACC</t>
        </is>
      </c>
      <c r="C10" s="122" t="n"/>
      <c r="D10" s="129">
        <f>'6. Valuation'!C18</f>
        <v/>
      </c>
      <c r="E10" s="122" t="n"/>
      <c r="F10" s="122" t="n"/>
      <c r="G10" s="122" t="n"/>
    </row>
    <row r="11">
      <c r="A11" s="122" t="n"/>
      <c r="B11" s="17" t="inlineStr">
        <is>
          <t>TIR</t>
        </is>
      </c>
      <c r="C11" s="122" t="n"/>
      <c r="D11" s="130">
        <f>'6. Valuation'!C21</f>
        <v/>
      </c>
      <c r="E11" s="122" t="n"/>
      <c r="F11" s="122" t="n"/>
      <c r="G11" s="122" t="n"/>
    </row>
    <row r="12">
      <c r="A12" s="122" t="n"/>
      <c r="B12" s="17" t="inlineStr">
        <is>
          <t>WACC</t>
        </is>
      </c>
      <c r="C12" s="122" t="n"/>
      <c r="D12" s="131">
        <f>'2. Inputs'!C81</f>
        <v/>
      </c>
      <c r="E12" s="122" t="n"/>
      <c r="F12" s="122" t="n"/>
      <c r="G12" s="122" t="n"/>
    </row>
    <row r="13">
      <c r="A13" s="122" t="n"/>
      <c r="B13" s="17" t="inlineStr">
        <is>
          <t>Payback descontado</t>
        </is>
      </c>
      <c r="C13" s="122" t="n"/>
      <c r="D13" s="132">
        <f>'6. Valuation'!C24</f>
        <v/>
      </c>
      <c r="E13" s="122" t="n"/>
      <c r="F13" s="122" t="n"/>
      <c r="G13" s="122" t="n"/>
    </row>
    <row r="14">
      <c r="A14" s="122" t="n"/>
      <c r="B14" s="17" t="inlineStr">
        <is>
          <t>CAPEX no ano 0</t>
        </is>
      </c>
      <c r="C14" s="122" t="n"/>
      <c r="D14" s="129">
        <f>'2. Inputs'!C53</f>
        <v/>
      </c>
      <c r="E14" s="122" t="n"/>
      <c r="F14" s="122" t="n"/>
      <c r="G14" s="122" t="n"/>
    </row>
    <row r="15">
      <c r="A15" s="122" t="n"/>
      <c r="B15" s="17" t="inlineStr">
        <is>
          <t>EBITDA — ano 1</t>
        </is>
      </c>
      <c r="C15" s="122" t="n"/>
      <c r="D15" s="129">
        <f>'4. DRE'!D39</f>
        <v/>
      </c>
      <c r="E15" s="122" t="n"/>
      <c r="F15" s="122" t="n"/>
      <c r="G15" s="122" t="n"/>
    </row>
    <row r="16">
      <c r="A16" s="122" t="n"/>
      <c r="B16" s="17" t="inlineStr">
        <is>
          <t>Margem EBITDA — ano 1</t>
        </is>
      </c>
      <c r="C16" s="122" t="n"/>
      <c r="D16" s="130">
        <f>'4. DRE'!D40</f>
        <v/>
      </c>
      <c r="E16" s="122" t="n"/>
      <c r="F16" s="122" t="n"/>
      <c r="G16" s="122" t="n"/>
    </row>
    <row r="17">
      <c r="A17" s="122" t="n"/>
      <c r="B17" s="17" t="inlineStr">
        <is>
          <t>EBITDA — ano 10</t>
        </is>
      </c>
      <c r="C17" s="122" t="n"/>
      <c r="D17" s="129">
        <f>'4. DRE'!M39</f>
        <v/>
      </c>
      <c r="E17" s="122" t="n"/>
      <c r="F17" s="122" t="n"/>
      <c r="G17" s="122" t="n"/>
    </row>
    <row r="18">
      <c r="A18" s="122" t="n"/>
      <c r="B18" s="17" t="inlineStr">
        <is>
          <t>Margem EBITDA — ano 10</t>
        </is>
      </c>
      <c r="C18" s="122" t="n"/>
      <c r="D18" s="130">
        <f>'4. DRE'!M40</f>
        <v/>
      </c>
      <c r="E18" s="122" t="n"/>
      <c r="F18" s="122" t="n"/>
      <c r="G18" s="122" t="n"/>
    </row>
    <row r="19">
      <c r="A19" s="122" t="n"/>
      <c r="B19" s="17" t="inlineStr">
        <is>
          <t>Margem de segurança sobre o ponto de equilíbrio — ano 1</t>
        </is>
      </c>
      <c r="C19" s="122" t="n"/>
      <c r="D19" s="130">
        <f>'7. Cenarios e Sensibilidade'!D60</f>
        <v/>
      </c>
      <c r="E19" s="122" t="n"/>
      <c r="F19" s="122" t="n"/>
      <c r="G19" s="122" t="n"/>
    </row>
    <row r="20">
      <c r="A20" s="122" t="n"/>
      <c r="B20" s="122" t="n"/>
      <c r="C20" s="122" t="n"/>
      <c r="D20" s="122" t="n"/>
      <c r="E20" s="122" t="n"/>
      <c r="F20" s="122" t="n"/>
      <c r="G20" s="122" t="n"/>
    </row>
    <row r="21">
      <c r="A21" s="122" t="n"/>
      <c r="B21" s="98" t="inlineStr">
        <is>
          <t>CHECKS DE AMARRAÇÃO</t>
        </is>
      </c>
      <c r="C21" s="122" t="n"/>
      <c r="D21" s="133">
        <f>'10. Checks'!C4</f>
        <v/>
      </c>
      <c r="E21" s="100" t="n"/>
      <c r="F21" s="101" t="n"/>
      <c r="G21" s="122" t="n"/>
    </row>
    <row r="22">
      <c r="A22" s="122" t="n"/>
      <c r="B22" s="122" t="n"/>
      <c r="C22" s="122" t="n"/>
      <c r="D22" s="122" t="n"/>
      <c r="E22" s="122" t="n"/>
      <c r="F22" s="122" t="n"/>
      <c r="G22" s="122" t="n"/>
    </row>
    <row r="23">
      <c r="A23" s="122" t="n"/>
      <c r="B23" s="98" t="inlineStr">
        <is>
          <t>O QUE ESTE MODELO CORRIGE</t>
        </is>
      </c>
      <c r="C23" s="122" t="n"/>
      <c r="D23" s="122" t="n"/>
      <c r="E23" s="122" t="n"/>
      <c r="F23" s="122" t="n"/>
      <c r="G23" s="122" t="n"/>
    </row>
    <row r="24">
      <c r="A24" s="122" t="n"/>
      <c r="B24" s="46" t="inlineStr">
        <is>
          <t>Gap</t>
        </is>
      </c>
      <c r="C24" s="46" t="inlineStr">
        <is>
          <t>O que havia na origem</t>
        </is>
      </c>
      <c r="D24" s="46" t="inlineStr">
        <is>
          <t>O que este modelo faz</t>
        </is>
      </c>
      <c r="E24" s="46" t="inlineStr">
        <is>
          <t>Onde</t>
        </is>
      </c>
      <c r="F24" s="122" t="n"/>
      <c r="G24" s="122" t="n"/>
    </row>
    <row r="25" ht="40" customHeight="1">
      <c r="A25" s="122" t="n"/>
      <c r="B25" s="115" t="inlineStr">
        <is>
          <t>1. DRE em formato FP&amp;A</t>
        </is>
      </c>
      <c r="C25" s="116" t="inlineStr">
        <is>
          <t>Resultado espalhado entre 3 abas. Nenhuma linha de EBITDA, EBIT ou margem.</t>
        </is>
      </c>
      <c r="D25" s="116" t="inlineStr">
        <is>
          <t>DRE completa com margem em cada linha e memória por unidade.</t>
        </is>
      </c>
      <c r="E25" s="100" t="n"/>
      <c r="F25" s="101" t="n"/>
      <c r="G25" s="118" t="inlineStr">
        <is>
          <t>4. DRE</t>
        </is>
      </c>
    </row>
    <row r="26" ht="40" customHeight="1">
      <c r="A26" s="122" t="n"/>
      <c r="B26" s="115" t="inlineStr">
        <is>
          <t>2. Premissa dentro de fórmula</t>
        </is>
      </c>
      <c r="C26" s="116" t="inlineStr">
        <is>
          <t>Markup =0,18+0,0065+0,03+0,03+0,25 numa célula. CTU e volume digitados à mão.</t>
        </is>
      </c>
      <c r="D26" s="116" t="inlineStr">
        <is>
          <t>Toda premissa numa célula identificada, com fonte, na aba de inputs.</t>
        </is>
      </c>
      <c r="E26" s="100" t="n"/>
      <c r="F26" s="101" t="n"/>
      <c r="G26" s="118" t="inlineStr">
        <is>
          <t>2. Inputs</t>
        </is>
      </c>
    </row>
    <row r="27" ht="40" customHeight="1">
      <c r="A27" s="122" t="n"/>
      <c r="B27" s="115" t="inlineStr">
        <is>
          <t>3. Depreciação errada</t>
        </is>
      </c>
      <c r="C27" s="116" t="inlineStr">
        <is>
          <t>Anotado pelo próprio autor. Quatro defeitos: base incompleta, vida útil ignorada, reinvestimento sem depreciação, base de volume inconsistente.</t>
        </is>
      </c>
      <c r="D27" s="116" t="inlineStr">
        <is>
          <t>Registro de ativos por classe e vida útil, cronograma linear, antes e depois documentado.</t>
        </is>
      </c>
      <c r="E27" s="100" t="n"/>
      <c r="F27" s="101" t="n"/>
      <c r="G27" s="118" t="inlineStr">
        <is>
          <t>3. Depreciacao</t>
        </is>
      </c>
    </row>
    <row r="28" ht="40" customHeight="1">
      <c r="A28" s="122" t="n"/>
      <c r="B28" s="115" t="inlineStr">
        <is>
          <t>4. Taxa de desconto</t>
        </is>
      </c>
      <c r="C28" s="116" t="inlineStr">
        <is>
          <t>Selic de 12,25%, "vigente em outubro de 2020", sem prêmio de risco.</t>
        </is>
      </c>
      <c r="D28" s="116" t="inlineStr">
        <is>
          <t>WACC construído (CAPM), com o impacto no VPL isolado numa ponte de duas pontas.</t>
        </is>
      </c>
      <c r="E28" s="100" t="n"/>
      <c r="F28" s="101" t="n"/>
      <c r="G28" s="118" t="inlineStr">
        <is>
          <t>6. Valuation</t>
        </is>
      </c>
    </row>
    <row r="29" ht="40" customHeight="1">
      <c r="A29" s="122" t="n"/>
      <c r="B29" s="115" t="inlineStr">
        <is>
          <t>5. Cenários e sensibilidade</t>
        </is>
      </c>
      <c r="C29" s="116" t="inlineStr">
        <is>
          <t>Não existiam.</t>
        </is>
      </c>
      <c r="D29" s="116" t="inlineStr">
        <is>
          <t>Três cenários por seletor único, tornado de cinco alavancas, sensibilidade ao custo de capital e tabela WACC x g.</t>
        </is>
      </c>
      <c r="E29" s="100" t="n"/>
      <c r="F29" s="101" t="n"/>
      <c r="G29" s="118" t="inlineStr">
        <is>
          <t>7. Cenarios</t>
        </is>
      </c>
    </row>
    <row r="30" ht="40" customHeight="1">
      <c r="A30" s="122" t="n"/>
      <c r="B30" s="115" t="inlineStr">
        <is>
          <t>6. Checks, capa e sumário</t>
        </is>
      </c>
      <c r="C30" s="116" t="inlineStr">
        <is>
          <t>Nenhuma célula de verificação na planilha inteira.</t>
        </is>
      </c>
      <c r="D30" s="116" t="inlineStr">
        <is>
          <t>19 checks de amarração e esta capa.</t>
        </is>
      </c>
      <c r="E30" s="100" t="n"/>
      <c r="F30" s="101" t="n"/>
      <c r="G30" s="118" t="inlineStr">
        <is>
          <t>10. Checks</t>
        </is>
      </c>
    </row>
    <row r="31" ht="40" customHeight="1">
      <c r="A31" s="122" t="n"/>
      <c r="B31" s="115" t="inlineStr">
        <is>
          <t>7. Ponte de variância de EBITDA</t>
        </is>
      </c>
      <c r="C31" s="116" t="inlineStr">
        <is>
          <t>Não havia EBITDA para decompor.</t>
        </is>
      </c>
      <c r="D31" s="116" t="inlineStr">
        <is>
          <t>Ponte volume x preço x mix x custo, ano a ano, fechando exatamente, com comentário de gestor.</t>
        </is>
      </c>
      <c r="E31" s="100" t="n"/>
      <c r="F31" s="101" t="n"/>
      <c r="G31" s="118" t="inlineStr">
        <is>
          <t>9. Ponte EBITDA</t>
        </is>
      </c>
    </row>
    <row r="32" ht="40" customHeight="1">
      <c r="A32" s="122" t="n"/>
      <c r="B32" s="115" t="inlineStr">
        <is>
          <t>8. Ponto de equilíbrio</t>
        </is>
      </c>
      <c r="C32" s="116" t="inlineStr">
        <is>
          <t>Calculado sobre um CTU diferente do usado na DRE, sem leitura de negócio.</t>
        </is>
      </c>
      <c r="D32" s="116" t="inlineStr">
        <is>
          <t>PE contábil e de caixa, margem de segurança, alavancagem operacional e o que isso significa.</t>
        </is>
      </c>
      <c r="E32" s="100" t="n"/>
      <c r="F32" s="101" t="n"/>
      <c r="G32" s="118" t="inlineStr">
        <is>
          <t>7. Cenarios</t>
        </is>
      </c>
    </row>
    <row r="33">
      <c r="A33" s="122" t="n"/>
      <c r="B33" s="122" t="n"/>
      <c r="C33" s="122" t="n"/>
      <c r="D33" s="122" t="n"/>
      <c r="E33" s="122" t="n"/>
      <c r="F33" s="122" t="n"/>
      <c r="G33" s="122" t="n"/>
    </row>
    <row r="34">
      <c r="A34" s="122" t="n"/>
      <c r="B34" s="98" t="inlineStr">
        <is>
          <t>ACHADOS QUE NÃO ESTAVAM NA LISTA</t>
        </is>
      </c>
      <c r="C34" s="122" t="n"/>
      <c r="D34" s="122" t="n"/>
      <c r="E34" s="122" t="n"/>
      <c r="F34" s="122" t="n"/>
      <c r="G34" s="122" t="n"/>
    </row>
    <row r="35" ht="28" customHeight="1">
      <c r="A35" s="122" t="n"/>
      <c r="B35" s="52" t="inlineStr">
        <is>
          <t>• O reinvestimento de 2028 estava R$ 5,6 mi inflado por duas referências erradas: 25 notebooks multiplicados pelo preço do tanque de leite, e uma soma elevada ao quadrado no laboratório.</t>
        </is>
      </c>
    </row>
    <row r="36" ht="28" customHeight="1">
      <c r="A36" s="122" t="n"/>
      <c r="B36" s="52" t="inlineStr">
        <is>
          <t>• O CUB (R$ 2.163,98 por m²) entrava somado ao investimento como se fosse um valor de obra.</t>
        </is>
      </c>
    </row>
    <row r="37" ht="28" customHeight="1">
      <c r="A37" s="122" t="n"/>
      <c r="B37" s="52" t="inlineStr">
        <is>
          <t>• A empilhadeira de 2030 era contada duas vezes dentro do mesmo SOMA.</t>
        </is>
      </c>
    </row>
    <row r="38" ht="28" customHeight="1">
      <c r="A38" s="122" t="n"/>
      <c r="B38" s="52" t="inlineStr">
        <is>
          <t>• A rotação do leite no crédito de fornecedores do ano 2 estava 260 em vez de 12 — copiada da linha de estoque.</t>
        </is>
      </c>
    </row>
    <row r="39" ht="28" customHeight="1">
      <c r="A39" s="122" t="n"/>
      <c r="B39" s="52" t="inlineStr">
        <is>
          <t>• A planilha vendia ~10% mais unidades do que produzia, todo ano, sem estoque.</t>
        </is>
      </c>
    </row>
    <row r="40" ht="28" customHeight="1">
      <c r="A40" s="122" t="n"/>
      <c r="B40" s="52" t="inlineStr">
        <is>
          <t>• A parcela de 3% que estava dentro do markup nunca virou despesa: era margem escondida.</t>
        </is>
      </c>
    </row>
    <row r="41" ht="28" customHeight="1">
      <c r="A41" s="122" t="n"/>
      <c r="B41" s="52" t="inlineStr">
        <is>
          <t>• No modo de precificação da origem (custo + markup), custo mais alto gera VPL mais alto. O modelo premiava ineficiência. Há um seletor na aba 2. Inputs para testar preço de mercado fixo.</t>
        </is>
      </c>
    </row>
    <row r="42">
      <c r="A42" s="122" t="n"/>
      <c r="B42" s="122" t="n"/>
      <c r="C42" s="122" t="n"/>
      <c r="D42" s="122" t="n"/>
      <c r="E42" s="122" t="n"/>
      <c r="F42" s="122" t="n"/>
      <c r="G42" s="122" t="n"/>
    </row>
    <row r="43">
      <c r="A43" s="122" t="n"/>
      <c r="B43" s="98" t="inlineStr">
        <is>
          <t>ÍNDICE</t>
        </is>
      </c>
      <c r="C43" s="122" t="n"/>
      <c r="D43" s="122" t="n"/>
      <c r="E43" s="122" t="n"/>
      <c r="F43" s="122" t="n"/>
      <c r="G43" s="122" t="n"/>
    </row>
    <row r="44">
      <c r="A44" s="122" t="n"/>
      <c r="B44" s="119" t="inlineStr">
        <is>
          <t>2. Inputs</t>
        </is>
      </c>
      <c r="C44" s="17" t="inlineStr">
        <is>
          <t>Todas as premissas, com fonte. Seletor de cenário em C5 e modo de precificação.</t>
        </is>
      </c>
    </row>
    <row r="45">
      <c r="A45" s="122" t="n"/>
      <c r="B45" s="119" t="inlineStr">
        <is>
          <t>3. Depreciacao</t>
        </is>
      </c>
      <c r="C45" s="17" t="inlineStr">
        <is>
          <t>Registro de ativos, cronograma e o diagnóstico dos quatro defeitos da origem.</t>
        </is>
      </c>
    </row>
    <row r="46">
      <c r="A46" s="122" t="n"/>
      <c r="B46" s="119" t="inlineStr">
        <is>
          <t>4. DRE</t>
        </is>
      </c>
      <c r="C46" s="17" t="inlineStr">
        <is>
          <t>Resultado em formato FP&amp;A, com margem em cada linha.</t>
        </is>
      </c>
    </row>
    <row r="47">
      <c r="A47" s="122" t="n"/>
      <c r="B47" s="119" t="inlineStr">
        <is>
          <t>5. Fluxo de Caixa</t>
        </is>
      </c>
      <c r="C47" s="17" t="inlineStr">
        <is>
          <t>Capital de giro reconstruído e fluxo de caixa livre.</t>
        </is>
      </c>
    </row>
    <row r="48">
      <c r="A48" s="122" t="n"/>
      <c r="B48" s="119" t="inlineStr">
        <is>
          <t>6. Valuation</t>
        </is>
      </c>
      <c r="C48" s="17" t="inlineStr">
        <is>
          <t>WACC, VPL, TIR, payback, valor terminal e a ponte de VPL contra a origem.</t>
        </is>
      </c>
    </row>
    <row r="49">
      <c r="A49" s="122" t="n"/>
      <c r="B49" s="119" t="inlineStr">
        <is>
          <t>7. Cenarios e Sensibilidade</t>
        </is>
      </c>
      <c r="C49" s="17" t="inlineStr">
        <is>
          <t>Três cenários, tornado, sensibilidade e ponto de equilíbrio.</t>
        </is>
      </c>
    </row>
    <row r="50">
      <c r="A50" s="122" t="n"/>
      <c r="B50" s="119" t="inlineStr">
        <is>
          <t>8. Motor de Cenarios</t>
        </is>
      </c>
      <c r="C50" s="17" t="inlineStr">
        <is>
          <t>Camada de cálculo. Não editar — as alavancas ficam na aba 2.</t>
        </is>
      </c>
    </row>
    <row r="51">
      <c r="A51" s="122" t="n"/>
      <c r="B51" s="119" t="inlineStr">
        <is>
          <t>9. Ponte EBITDA</t>
        </is>
      </c>
      <c r="C51" s="17" t="inlineStr">
        <is>
          <t>Decomposição volume x preço x mix x custo.</t>
        </is>
      </c>
    </row>
    <row r="52">
      <c r="A52" s="122" t="n"/>
      <c r="B52" s="119" t="inlineStr">
        <is>
          <t>10. Checks</t>
        </is>
      </c>
      <c r="C52" s="17" t="inlineStr">
        <is>
          <t>19 amarrações. Se alguma sair de OK, o modelo não sai da gaveta.</t>
        </is>
      </c>
    </row>
    <row r="53">
      <c r="A53" s="122" t="n"/>
      <c r="B53" s="122" t="n"/>
      <c r="C53" s="122" t="n"/>
      <c r="D53" s="122" t="n"/>
      <c r="E53" s="122" t="n"/>
      <c r="F53" s="122" t="n"/>
      <c r="G53" s="122" t="n"/>
    </row>
    <row r="54">
      <c r="A54" s="122" t="n"/>
      <c r="B54" s="8" t="inlineStr">
        <is>
          <t>CONVENÇÃO DE COR</t>
        </is>
      </c>
      <c r="C54" s="122" t="n"/>
      <c r="D54" s="122" t="n"/>
      <c r="E54" s="122" t="n"/>
      <c r="F54" s="122" t="n"/>
      <c r="G54" s="122" t="n"/>
    </row>
    <row r="55">
      <c r="A55" s="122" t="n"/>
      <c r="B55" s="120" t="inlineStr">
        <is>
          <t>AZUL — input, pode mudar</t>
        </is>
      </c>
      <c r="C55" s="122" t="n"/>
      <c r="D55" s="122" t="n"/>
      <c r="E55" s="122" t="n"/>
      <c r="F55" s="122" t="n"/>
      <c r="G55" s="122" t="n"/>
    </row>
    <row r="56">
      <c r="A56" s="122" t="n"/>
      <c r="B56" s="21" t="inlineStr">
        <is>
          <t>PRETO — fórmula, não mexer</t>
        </is>
      </c>
      <c r="C56" s="122" t="n"/>
      <c r="D56" s="122" t="n"/>
      <c r="E56" s="122" t="n"/>
      <c r="F56" s="122" t="n"/>
      <c r="G56" s="122" t="n"/>
    </row>
    <row r="57">
      <c r="A57" s="122" t="n"/>
      <c r="B57" s="119" t="inlineStr">
        <is>
          <t>VERDE — link de outra aba</t>
        </is>
      </c>
      <c r="C57" s="122" t="n"/>
      <c r="D57" s="122" t="n"/>
      <c r="E57" s="122" t="n"/>
      <c r="F57" s="122" t="n"/>
      <c r="G57" s="122" t="n"/>
    </row>
    <row r="58">
      <c r="A58" s="122" t="n"/>
      <c r="B58" s="121" t="inlineStr">
        <is>
          <t>AMARELO — premissa a confirmar antes de apresentar</t>
        </is>
      </c>
      <c r="C58" s="122" t="n"/>
      <c r="D58" s="122" t="n"/>
      <c r="E58" s="122" t="n"/>
      <c r="F58" s="122" t="n"/>
      <c r="G58" s="122" t="n"/>
    </row>
    <row r="59">
      <c r="A59" s="122" t="n"/>
      <c r="B59" s="122" t="n"/>
      <c r="C59" s="122" t="n"/>
      <c r="D59" s="122" t="n"/>
      <c r="E59" s="122" t="n"/>
      <c r="F59" s="122" t="n"/>
      <c r="G59" s="122" t="n"/>
    </row>
    <row r="60">
      <c r="A60" s="122" t="n"/>
      <c r="B60" s="8" t="inlineStr">
        <is>
          <t>PREMISSAS A CONFIRMAR ANTES DE APRESENTAR</t>
        </is>
      </c>
      <c r="C60" s="122" t="n"/>
      <c r="D60" s="122" t="n"/>
      <c r="E60" s="122" t="n"/>
      <c r="F60" s="122" t="n"/>
      <c r="G60" s="122" t="n"/>
    </row>
    <row r="61">
      <c r="A61" s="122" t="n"/>
      <c r="B61" s="52" t="inlineStr">
        <is>
          <t>• Prêmio de risco de mercado, beta do setor e estrutura de capital alvo — hoje são placeholders no bloco H da aba 2.</t>
        </is>
      </c>
    </row>
    <row r="62">
      <c r="A62" s="122" t="n"/>
      <c r="B62" s="52" t="inlineStr">
        <is>
          <t>• A taxa livre de risco: a origem diz "Selic de outubro de 2020" e usa 12,25%, valores que não se conciliam.</t>
        </is>
      </c>
    </row>
    <row r="63">
      <c r="A63" s="122" t="n"/>
      <c r="B63" s="52" t="inlineStr">
        <is>
          <t>• A margem-alvo crescente (25% no ano 1 até 43% no ano 10) não tem estudo de preço por trás.</t>
        </is>
      </c>
    </row>
    <row r="64">
      <c r="A64" s="122" t="n"/>
      <c r="B64" s="52" t="inlineStr">
        <is>
          <t>• A contingência de 10% do CAPEX ao ano — em 10 anos consome 100% do investimento.</t>
        </is>
      </c>
    </row>
    <row r="65">
      <c r="A65" s="122" t="n"/>
      <c r="B65" s="52" t="inlineStr">
        <is>
          <t>• A parcela de 3% do markup, aqui tratada como comissão sobre vendas.</t>
        </is>
      </c>
    </row>
    <row r="66">
      <c r="A66" s="122" t="n"/>
      <c r="B66" s="52" t="inlineStr">
        <is>
          <t>• O preço de mercado do modo 2, hoje semeado com o preço do próprio modelo.</t>
        </is>
      </c>
    </row>
    <row r="67">
      <c r="A67" s="122" t="n"/>
      <c r="B67" s="52" t="inlineStr">
        <is>
          <t>• O crescimento de 10% ao ano de market share, que vem da aba de projeção da origem sem fonte.</t>
        </is>
      </c>
    </row>
    <row r="68">
      <c r="A68" s="122" t="n"/>
      <c r="B68" s="122" t="n"/>
      <c r="C68" s="122" t="n"/>
      <c r="D68" s="122" t="n"/>
      <c r="E68" s="122" t="n"/>
      <c r="F68" s="122" t="n"/>
      <c r="G68" s="122" t="n"/>
    </row>
    <row r="69">
      <c r="A69" s="122" t="n"/>
      <c r="B69" s="2" t="inlineStr">
        <is>
          <t>Origem dos dados: projeto acadêmico de Engenharia de Alimentos do autor (UNICAMP). Nenhum dado, cliente ou estrutura de trabalho profissional entra neste arquivo.</t>
        </is>
      </c>
    </row>
  </sheetData>
  <mergeCells count="34">
    <mergeCell ref="C49:G49"/>
    <mergeCell ref="D27:F27"/>
    <mergeCell ref="B67:G67"/>
    <mergeCell ref="D32:F32"/>
    <mergeCell ref="B61:G61"/>
    <mergeCell ref="C45:G45"/>
    <mergeCell ref="B69:G69"/>
    <mergeCell ref="B38:G38"/>
    <mergeCell ref="D28:F28"/>
    <mergeCell ref="B37:G37"/>
    <mergeCell ref="C47:G47"/>
    <mergeCell ref="C50:G50"/>
    <mergeCell ref="C44:G44"/>
    <mergeCell ref="B65:G65"/>
    <mergeCell ref="B40:G40"/>
    <mergeCell ref="D30:F30"/>
    <mergeCell ref="D25:F25"/>
    <mergeCell ref="B64:G64"/>
    <mergeCell ref="D29:F29"/>
    <mergeCell ref="B5:G7"/>
    <mergeCell ref="B36:G36"/>
    <mergeCell ref="C46:G46"/>
    <mergeCell ref="B63:G63"/>
    <mergeCell ref="B41:G41"/>
    <mergeCell ref="C51:G51"/>
    <mergeCell ref="B35:G35"/>
    <mergeCell ref="D26:F26"/>
    <mergeCell ref="C52:G52"/>
    <mergeCell ref="B62:G62"/>
    <mergeCell ref="C48:G48"/>
    <mergeCell ref="B66:G66"/>
    <mergeCell ref="D31:F31"/>
    <mergeCell ref="D21:F21"/>
    <mergeCell ref="B39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O100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5" max="15"/>
  </cols>
  <sheetData>
    <row r="1">
      <c r="A1" s="1" t="inlineStr">
        <is>
          <t>INPUTS E PREMISSAS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</row>
    <row r="2">
      <c r="A2" s="2" t="inlineStr">
        <is>
          <t>Business case — planta de doce de leite | Toda premissa do modelo vive nesta aba. Nenhum número entra em fórmula fora daqui.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2" t="n"/>
      <c r="O3" s="122" t="n"/>
    </row>
    <row r="4">
      <c r="A4" s="3" t="inlineStr">
        <is>
          <t>Convenção de cor:</t>
        </is>
      </c>
      <c r="B4" s="122" t="n"/>
      <c r="C4" s="4" t="inlineStr">
        <is>
          <t>AZUL = input</t>
        </is>
      </c>
      <c r="D4" s="122" t="n"/>
      <c r="E4" s="5" t="inlineStr">
        <is>
          <t>PRETO = fórmula</t>
        </is>
      </c>
      <c r="F4" s="122" t="n"/>
      <c r="G4" s="6" t="inlineStr">
        <is>
          <t>VERDE = link de outra aba</t>
        </is>
      </c>
      <c r="H4" s="122" t="n"/>
      <c r="I4" s="7" t="inlineStr">
        <is>
          <t>AMARELO = a confirmar</t>
        </is>
      </c>
      <c r="J4" s="122" t="n"/>
      <c r="K4" s="122" t="n"/>
      <c r="L4" s="122" t="n"/>
      <c r="M4" s="122" t="n"/>
      <c r="N4" s="122" t="n"/>
      <c r="O4" s="122" t="n"/>
    </row>
    <row r="5">
      <c r="A5" s="8" t="inlineStr">
        <is>
          <t>CENÁRIO ATIVO  (1 = Pessimista · 2 = Base · 3 = Otimista)</t>
        </is>
      </c>
      <c r="B5" s="122" t="n"/>
      <c r="C5" s="9" t="n">
        <v>2</v>
      </c>
      <c r="D5" s="8">
        <f>INDEX($C$93:$E$93,1,$C$5)</f>
        <v/>
      </c>
      <c r="E5" s="122" t="n"/>
      <c r="F5" s="2" t="inlineStr">
        <is>
          <t>&lt;- nome do cenário lido da tabela de alavancas (bloco J)</t>
        </is>
      </c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</row>
    <row r="6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2" t="n"/>
      <c r="O6" s="122" t="n"/>
    </row>
    <row r="7">
      <c r="A7" s="10" t="inlineStr">
        <is>
          <t>Ano</t>
        </is>
      </c>
      <c r="B7" s="122" t="n"/>
      <c r="C7" s="11" t="n">
        <v>0</v>
      </c>
      <c r="D7" s="11" t="n">
        <v>1</v>
      </c>
      <c r="E7" s="11" t="n">
        <v>2</v>
      </c>
      <c r="F7" s="11" t="n">
        <v>3</v>
      </c>
      <c r="G7" s="11" t="n">
        <v>4</v>
      </c>
      <c r="H7" s="11" t="n">
        <v>5</v>
      </c>
      <c r="I7" s="11" t="n">
        <v>6</v>
      </c>
      <c r="J7" s="11" t="n">
        <v>7</v>
      </c>
      <c r="K7" s="11" t="n">
        <v>8</v>
      </c>
      <c r="L7" s="11" t="n">
        <v>9</v>
      </c>
      <c r="M7" s="11" t="n">
        <v>10</v>
      </c>
      <c r="N7" s="122" t="n"/>
      <c r="O7" s="3" t="inlineStr">
        <is>
          <t>Fonte / observação</t>
        </is>
      </c>
    </row>
    <row r="8">
      <c r="A8" s="12" t="inlineStr">
        <is>
          <t>Exercício</t>
        </is>
      </c>
      <c r="B8" s="125" t="n"/>
      <c r="C8" s="14" t="inlineStr">
        <is>
          <t>2023</t>
        </is>
      </c>
      <c r="D8" s="14" t="inlineStr">
        <is>
          <t>2024</t>
        </is>
      </c>
      <c r="E8" s="14" t="inlineStr">
        <is>
          <t>2025</t>
        </is>
      </c>
      <c r="F8" s="14" t="inlineStr">
        <is>
          <t>2026</t>
        </is>
      </c>
      <c r="G8" s="14" t="inlineStr">
        <is>
          <t>2027</t>
        </is>
      </c>
      <c r="H8" s="14" t="inlineStr">
        <is>
          <t>2028</t>
        </is>
      </c>
      <c r="I8" s="14" t="inlineStr">
        <is>
          <t>2029</t>
        </is>
      </c>
      <c r="J8" s="14" t="inlineStr">
        <is>
          <t>2030</t>
        </is>
      </c>
      <c r="K8" s="14" t="inlineStr">
        <is>
          <t>2031</t>
        </is>
      </c>
      <c r="L8" s="14" t="inlineStr">
        <is>
          <t>2032</t>
        </is>
      </c>
      <c r="M8" s="14" t="inlineStr">
        <is>
          <t>2033</t>
        </is>
      </c>
      <c r="N8" s="122" t="n"/>
      <c r="O8" s="122" t="n"/>
    </row>
    <row r="9">
      <c r="A9" s="122" t="n"/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</row>
    <row r="10">
      <c r="A10" s="15" t="inlineStr">
        <is>
          <t>A. VOLUME</t>
        </is>
      </c>
      <c r="B10" s="126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2" t="n"/>
      <c r="O10" s="122" t="n"/>
    </row>
    <row r="11">
      <c r="A11" s="17" t="inlineStr">
        <is>
          <t>Unidades produzidas — origem</t>
        </is>
      </c>
      <c r="B11" s="2" t="inlineStr">
        <is>
          <t>un/ano</t>
        </is>
      </c>
      <c r="C11" s="18" t="n"/>
      <c r="D11" s="18" t="n">
        <v>1244035</v>
      </c>
      <c r="E11" s="18" t="n">
        <v>1375555</v>
      </c>
      <c r="F11" s="18" t="n">
        <v>1520979</v>
      </c>
      <c r="G11" s="18" t="n">
        <v>1681776</v>
      </c>
      <c r="H11" s="18" t="n">
        <v>1893740</v>
      </c>
      <c r="I11" s="18" t="n">
        <v>2056155</v>
      </c>
      <c r="J11" s="18" t="n">
        <v>2273468</v>
      </c>
      <c r="K11" s="18" t="n">
        <v>2513625</v>
      </c>
      <c r="L11" s="18" t="n">
        <v>2785395</v>
      </c>
      <c r="M11" s="18" t="n">
        <v>3079476</v>
      </c>
      <c r="N11" s="122" t="n"/>
      <c r="O11" s="2" t="inlineStr">
        <is>
          <t>Origem: '7. Massas iniciais, ritmo de tr'!R122:R131 (balanço de massa). Não recalculado.</t>
        </is>
      </c>
    </row>
    <row r="12">
      <c r="A12" s="17" t="inlineStr">
        <is>
          <t>Unidades vendidas — origem (referência)</t>
        </is>
      </c>
      <c r="B12" s="2" t="inlineStr">
        <is>
          <t>un/ano</t>
        </is>
      </c>
      <c r="C12" s="19" t="n"/>
      <c r="D12" s="19" t="n">
        <v>1368200</v>
      </c>
      <c r="E12" s="19" t="n">
        <v>1375315</v>
      </c>
      <c r="F12" s="19" t="n">
        <v>1520713</v>
      </c>
      <c r="G12" s="19" t="n">
        <v>1681483</v>
      </c>
      <c r="H12" s="19" t="n">
        <v>1859250</v>
      </c>
      <c r="I12" s="19" t="n">
        <v>2093581</v>
      </c>
      <c r="J12" s="19" t="n">
        <v>2273136</v>
      </c>
      <c r="K12" s="19" t="n">
        <v>2513381</v>
      </c>
      <c r="L12" s="19" t="n">
        <v>2778882</v>
      </c>
      <c r="M12" s="19" t="n">
        <v>3079331</v>
      </c>
      <c r="N12" s="122" t="n"/>
      <c r="O12" s="2" t="inlineStr">
        <is>
          <t>Origem: '3. Projeção de produção'!G23:G32, digitadas à mão. Divergem ~10% das produzidas. Ver D-01 em gaps-e-decisoes.</t>
        </is>
      </c>
    </row>
    <row r="13">
      <c r="A13" s="17" t="inlineStr">
        <is>
          <t>Δ volume do cenário</t>
        </is>
      </c>
      <c r="B13" s="2" t="inlineStr">
        <is>
          <t>%</t>
        </is>
      </c>
      <c r="C13" s="20">
        <f>IF(C$8="2023","",INDEX($C$88:$E$88,1,$C$5))</f>
        <v/>
      </c>
      <c r="D13" s="20">
        <f>IF(D$8="2023","",INDEX($C$88:$E$88,1,$C$5))</f>
        <v/>
      </c>
      <c r="E13" s="20">
        <f>IF(E$8="2023","",INDEX($C$88:$E$88,1,$C$5))</f>
        <v/>
      </c>
      <c r="F13" s="20">
        <f>IF(F$8="2023","",INDEX($C$88:$E$88,1,$C$5))</f>
        <v/>
      </c>
      <c r="G13" s="20">
        <f>IF(G$8="2023","",INDEX($C$88:$E$88,1,$C$5))</f>
        <v/>
      </c>
      <c r="H13" s="20">
        <f>IF(H$8="2023","",INDEX($C$88:$E$88,1,$C$5))</f>
        <v/>
      </c>
      <c r="I13" s="20">
        <f>IF(I$8="2023","",INDEX($C$88:$E$88,1,$C$5))</f>
        <v/>
      </c>
      <c r="J13" s="20">
        <f>IF(J$8="2023","",INDEX($C$88:$E$88,1,$C$5))</f>
        <v/>
      </c>
      <c r="K13" s="20">
        <f>IF(K$8="2023","",INDEX($C$88:$E$88,1,$C$5))</f>
        <v/>
      </c>
      <c r="L13" s="20">
        <f>IF(L$8="2023","",INDEX($C$88:$E$88,1,$C$5))</f>
        <v/>
      </c>
      <c r="M13" s="20">
        <f>IF(M$8="2023","",INDEX($C$88:$E$88,1,$C$5))</f>
        <v/>
      </c>
      <c r="N13" s="122" t="n"/>
      <c r="O13" s="2" t="inlineStr">
        <is>
          <t>Alavanca de cenário — bloco J.</t>
        </is>
      </c>
    </row>
    <row r="14">
      <c r="A14" s="21" t="inlineStr">
        <is>
          <t>VOLUME DO MODELO</t>
        </is>
      </c>
      <c r="B14" s="2" t="inlineStr">
        <is>
          <t>un/ano</t>
        </is>
      </c>
      <c r="C14" s="22">
        <f>IF(C$8="2023","",C11*(1+C13))</f>
        <v/>
      </c>
      <c r="D14" s="22">
        <f>IF(D$8="2023","",D11*(1+D13))</f>
        <v/>
      </c>
      <c r="E14" s="22">
        <f>IF(E$8="2023","",E11*(1+E13))</f>
        <v/>
      </c>
      <c r="F14" s="22">
        <f>IF(F$8="2023","",F11*(1+F13))</f>
        <v/>
      </c>
      <c r="G14" s="22">
        <f>IF(G$8="2023","",G11*(1+G13))</f>
        <v/>
      </c>
      <c r="H14" s="22">
        <f>IF(H$8="2023","",H11*(1+H13))</f>
        <v/>
      </c>
      <c r="I14" s="22">
        <f>IF(I$8="2023","",I11*(1+I13))</f>
        <v/>
      </c>
      <c r="J14" s="22">
        <f>IF(J$8="2023","",J11*(1+J13))</f>
        <v/>
      </c>
      <c r="K14" s="22">
        <f>IF(K$8="2023","",K11*(1+K13))</f>
        <v/>
      </c>
      <c r="L14" s="22">
        <f>IF(L$8="2023","",L11*(1+L13))</f>
        <v/>
      </c>
      <c r="M14" s="22">
        <f>IF(M$8="2023","",M11*(1+M13))</f>
        <v/>
      </c>
      <c r="N14" s="122" t="n"/>
      <c r="O14" s="2" t="inlineStr">
        <is>
          <t>Volume = produzido. Vender mais do que se produz, sem estoque, não se sustenta (D-01).</t>
        </is>
      </c>
    </row>
    <row r="15">
      <c r="A15" s="17" t="inlineStr">
        <is>
          <t>Crescimento do volume</t>
        </is>
      </c>
      <c r="B15" s="2" t="inlineStr">
        <is>
          <t>% a.a.</t>
        </is>
      </c>
      <c r="C15" s="127" t="inlineStr"/>
      <c r="D15" s="122" t="n"/>
      <c r="E15" s="20">
        <f>IFERROR(E14/D14-1,"")</f>
        <v/>
      </c>
      <c r="F15" s="20">
        <f>IFERROR(F14/E14-1,"")</f>
        <v/>
      </c>
      <c r="G15" s="20">
        <f>IFERROR(G14/F14-1,"")</f>
        <v/>
      </c>
      <c r="H15" s="20">
        <f>IFERROR(H14/G14-1,"")</f>
        <v/>
      </c>
      <c r="I15" s="20">
        <f>IFERROR(I14/H14-1,"")</f>
        <v/>
      </c>
      <c r="J15" s="20">
        <f>IFERROR(J14/I14-1,"")</f>
        <v/>
      </c>
      <c r="K15" s="20">
        <f>IFERROR(K14/J14-1,"")</f>
        <v/>
      </c>
      <c r="L15" s="20">
        <f>IFERROR(L14/K14-1,"")</f>
        <v/>
      </c>
      <c r="M15" s="20">
        <f>IFERROR(M14/L14-1,"")</f>
        <v/>
      </c>
      <c r="N15" s="122" t="n"/>
      <c r="O15" s="122" t="n"/>
    </row>
    <row r="16">
      <c r="A16" s="122" t="n"/>
      <c r="B16" s="122" t="n"/>
      <c r="C16" s="122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</row>
    <row r="17">
      <c r="A17" s="15" t="inlineStr">
        <is>
          <t>B. MIX REGIONAL E FRETE</t>
        </is>
      </c>
      <c r="B17" s="126" t="n"/>
      <c r="C17" s="126" t="n"/>
      <c r="D17" s="126" t="n"/>
      <c r="E17" s="126" t="n"/>
      <c r="F17" s="126" t="n"/>
      <c r="G17" s="126" t="n"/>
      <c r="H17" s="126" t="n"/>
      <c r="I17" s="126" t="n"/>
      <c r="J17" s="126" t="n"/>
      <c r="K17" s="126" t="n"/>
      <c r="L17" s="126" t="n"/>
      <c r="M17" s="126" t="n"/>
      <c r="N17" s="122" t="n"/>
      <c r="O17" s="122" t="n"/>
    </row>
    <row r="18">
      <c r="A18" s="17" t="inlineStr">
        <is>
          <t>Participação — Sudeste (alavanca)</t>
        </is>
      </c>
      <c r="B18" s="2" t="inlineStr">
        <is>
          <t>%</t>
        </is>
      </c>
      <c r="C18" s="20">
        <f>IF(C$8="2023","",INDEX($C$92:$E$92,1,$C$5))</f>
        <v/>
      </c>
      <c r="D18" s="20">
        <f>IF(D$8="2023","",INDEX($C$92:$E$92,1,$C$5))</f>
        <v/>
      </c>
      <c r="E18" s="20">
        <f>IF(E$8="2023","",INDEX($C$92:$E$92,1,$C$5))</f>
        <v/>
      </c>
      <c r="F18" s="20">
        <f>IF(F$8="2023","",INDEX($C$92:$E$92,1,$C$5))</f>
        <v/>
      </c>
      <c r="G18" s="20">
        <f>IF(G$8="2023","",INDEX($C$92:$E$92,1,$C$5))</f>
        <v/>
      </c>
      <c r="H18" s="20">
        <f>IF(H$8="2023","",INDEX($C$92:$E$92,1,$C$5))</f>
        <v/>
      </c>
      <c r="I18" s="20">
        <f>IF(I$8="2023","",INDEX($C$92:$E$92,1,$C$5))</f>
        <v/>
      </c>
      <c r="J18" s="20">
        <f>IF(J$8="2023","",INDEX($C$92:$E$92,1,$C$5))</f>
        <v/>
      </c>
      <c r="K18" s="20">
        <f>IF(K$8="2023","",INDEX($C$92:$E$92,1,$C$5))</f>
        <v/>
      </c>
      <c r="L18" s="20">
        <f>IF(L$8="2023","",INDEX($C$92:$E$92,1,$C$5))</f>
        <v/>
      </c>
      <c r="M18" s="20">
        <f>IF(M$8="2023","",INDEX($C$92:$E$92,1,$C$5))</f>
        <v/>
      </c>
      <c r="N18" s="122" t="n"/>
      <c r="O18" s="2" t="inlineStr">
        <is>
          <t>Origem: 20. Custos Unitários!D96. É a alavanca de mix do cenário.</t>
        </is>
      </c>
    </row>
    <row r="19">
      <c r="A19" s="17" t="inlineStr">
        <is>
          <t>Participação — Sul</t>
        </is>
      </c>
      <c r="B19" s="2" t="inlineStr">
        <is>
          <t>%</t>
        </is>
      </c>
      <c r="C19" s="20">
        <f>IF(C$8="2023","",$C$96/$C$100*(1-C18))</f>
        <v/>
      </c>
      <c r="D19" s="20">
        <f>IF(D$8="2023","",$C$96/$C$100*(1-D18))</f>
        <v/>
      </c>
      <c r="E19" s="20">
        <f>IF(E$8="2023","",$C$96/$C$100*(1-E18))</f>
        <v/>
      </c>
      <c r="F19" s="20">
        <f>IF(F$8="2023","",$C$96/$C$100*(1-F18))</f>
        <v/>
      </c>
      <c r="G19" s="20">
        <f>IF(G$8="2023","",$C$96/$C$100*(1-G18))</f>
        <v/>
      </c>
      <c r="H19" s="20">
        <f>IF(H$8="2023","",$C$96/$C$100*(1-H18))</f>
        <v/>
      </c>
      <c r="I19" s="20">
        <f>IF(I$8="2023","",$C$96/$C$100*(1-I18))</f>
        <v/>
      </c>
      <c r="J19" s="20">
        <f>IF(J$8="2023","",$C$96/$C$100*(1-J18))</f>
        <v/>
      </c>
      <c r="K19" s="20">
        <f>IF(K$8="2023","",$C$96/$C$100*(1-K18))</f>
        <v/>
      </c>
      <c r="L19" s="20">
        <f>IF(L$8="2023","",$C$96/$C$100*(1-L18))</f>
        <v/>
      </c>
      <c r="M19" s="20">
        <f>IF(M$8="2023","",$C$96/$C$100*(1-M18))</f>
        <v/>
      </c>
      <c r="N19" s="122" t="n"/>
      <c r="O19" s="2" t="inlineStr">
        <is>
          <t>Origem: 20. Custos Unitários!C96. Redistribuída proporcionalmente quando o Sudeste muda.</t>
        </is>
      </c>
    </row>
    <row r="20">
      <c r="A20" s="17" t="inlineStr">
        <is>
          <t>Participação — Nordeste</t>
        </is>
      </c>
      <c r="B20" s="2" t="inlineStr">
        <is>
          <t>%</t>
        </is>
      </c>
      <c r="C20" s="20">
        <f>IF(C$8="2023","",$C$97/$C$100*(1-C18))</f>
        <v/>
      </c>
      <c r="D20" s="20">
        <f>IF(D$8="2023","",$C$97/$C$100*(1-D18))</f>
        <v/>
      </c>
      <c r="E20" s="20">
        <f>IF(E$8="2023","",$C$97/$C$100*(1-E18))</f>
        <v/>
      </c>
      <c r="F20" s="20">
        <f>IF(F$8="2023","",$C$97/$C$100*(1-F18))</f>
        <v/>
      </c>
      <c r="G20" s="20">
        <f>IF(G$8="2023","",$C$97/$C$100*(1-G18))</f>
        <v/>
      </c>
      <c r="H20" s="20">
        <f>IF(H$8="2023","",$C$97/$C$100*(1-H18))</f>
        <v/>
      </c>
      <c r="I20" s="20">
        <f>IF(I$8="2023","",$C$97/$C$100*(1-I18))</f>
        <v/>
      </c>
      <c r="J20" s="20">
        <f>IF(J$8="2023","",$C$97/$C$100*(1-J18))</f>
        <v/>
      </c>
      <c r="K20" s="20">
        <f>IF(K$8="2023","",$C$97/$C$100*(1-K18))</f>
        <v/>
      </c>
      <c r="L20" s="20">
        <f>IF(L$8="2023","",$C$97/$C$100*(1-L18))</f>
        <v/>
      </c>
      <c r="M20" s="20">
        <f>IF(M$8="2023","",$C$97/$C$100*(1-M18))</f>
        <v/>
      </c>
      <c r="N20" s="122" t="n"/>
      <c r="O20" s="2" t="inlineStr">
        <is>
          <t>Origem: 20. Custos Unitários!E96. Redistribuída proporcionalmente quando o Sudeste muda.</t>
        </is>
      </c>
    </row>
    <row r="21">
      <c r="A21" s="17" t="inlineStr">
        <is>
          <t>Participação — Norte</t>
        </is>
      </c>
      <c r="B21" s="2" t="inlineStr">
        <is>
          <t>%</t>
        </is>
      </c>
      <c r="C21" s="20">
        <f>IF(C$8="2023","",$C$98/$C$100*(1-C18))</f>
        <v/>
      </c>
      <c r="D21" s="20">
        <f>IF(D$8="2023","",$C$98/$C$100*(1-D18))</f>
        <v/>
      </c>
      <c r="E21" s="20">
        <f>IF(E$8="2023","",$C$98/$C$100*(1-E18))</f>
        <v/>
      </c>
      <c r="F21" s="20">
        <f>IF(F$8="2023","",$C$98/$C$100*(1-F18))</f>
        <v/>
      </c>
      <c r="G21" s="20">
        <f>IF(G$8="2023","",$C$98/$C$100*(1-G18))</f>
        <v/>
      </c>
      <c r="H21" s="20">
        <f>IF(H$8="2023","",$C$98/$C$100*(1-H18))</f>
        <v/>
      </c>
      <c r="I21" s="20">
        <f>IF(I$8="2023","",$C$98/$C$100*(1-I18))</f>
        <v/>
      </c>
      <c r="J21" s="20">
        <f>IF(J$8="2023","",$C$98/$C$100*(1-J18))</f>
        <v/>
      </c>
      <c r="K21" s="20">
        <f>IF(K$8="2023","",$C$98/$C$100*(1-K18))</f>
        <v/>
      </c>
      <c r="L21" s="20">
        <f>IF(L$8="2023","",$C$98/$C$100*(1-L18))</f>
        <v/>
      </c>
      <c r="M21" s="20">
        <f>IF(M$8="2023","",$C$98/$C$100*(1-M18))</f>
        <v/>
      </c>
      <c r="N21" s="122" t="n"/>
      <c r="O21" s="2" t="inlineStr">
        <is>
          <t>Origem: 20. Custos Unitários!F96. Redistribuída proporcionalmente quando o Sudeste muda.</t>
        </is>
      </c>
    </row>
    <row r="22">
      <c r="A22" s="17" t="inlineStr">
        <is>
          <t>Participação — Centro-Oeste</t>
        </is>
      </c>
      <c r="B22" s="2" t="inlineStr">
        <is>
          <t>%</t>
        </is>
      </c>
      <c r="C22" s="20">
        <f>IF(C$8="2023","",$C$99/$C$100*(1-C18))</f>
        <v/>
      </c>
      <c r="D22" s="20">
        <f>IF(D$8="2023","",$C$99/$C$100*(1-D18))</f>
        <v/>
      </c>
      <c r="E22" s="20">
        <f>IF(E$8="2023","",$C$99/$C$100*(1-E18))</f>
        <v/>
      </c>
      <c r="F22" s="20">
        <f>IF(F$8="2023","",$C$99/$C$100*(1-F18))</f>
        <v/>
      </c>
      <c r="G22" s="20">
        <f>IF(G$8="2023","",$C$99/$C$100*(1-G18))</f>
        <v/>
      </c>
      <c r="H22" s="20">
        <f>IF(H$8="2023","",$C$99/$C$100*(1-H18))</f>
        <v/>
      </c>
      <c r="I22" s="20">
        <f>IF(I$8="2023","",$C$99/$C$100*(1-I18))</f>
        <v/>
      </c>
      <c r="J22" s="20">
        <f>IF(J$8="2023","",$C$99/$C$100*(1-J18))</f>
        <v/>
      </c>
      <c r="K22" s="20">
        <f>IF(K$8="2023","",$C$99/$C$100*(1-K18))</f>
        <v/>
      </c>
      <c r="L22" s="20">
        <f>IF(L$8="2023","",$C$99/$C$100*(1-L18))</f>
        <v/>
      </c>
      <c r="M22" s="20">
        <f>IF(M$8="2023","",$C$99/$C$100*(1-M18))</f>
        <v/>
      </c>
      <c r="N22" s="122" t="n"/>
      <c r="O22" s="2" t="inlineStr">
        <is>
          <t>Origem: 20. Custos Unitários!G96. Redistribuída proporcionalmente quando o Sudeste muda.</t>
        </is>
      </c>
    </row>
    <row r="23">
      <c r="A23" s="21" t="inlineStr">
        <is>
          <t>Soma das participações</t>
        </is>
      </c>
      <c r="B23" s="2" t="inlineStr">
        <is>
          <t>%</t>
        </is>
      </c>
      <c r="C23" s="24">
        <f>IF(C$8="2023","",SUM(C18:C22))</f>
        <v/>
      </c>
      <c r="D23" s="24">
        <f>IF(D$8="2023","",SUM(D18:D22))</f>
        <v/>
      </c>
      <c r="E23" s="24">
        <f>IF(E$8="2023","",SUM(E18:E22))</f>
        <v/>
      </c>
      <c r="F23" s="24">
        <f>IF(F$8="2023","",SUM(F18:F22))</f>
        <v/>
      </c>
      <c r="G23" s="24">
        <f>IF(G$8="2023","",SUM(G18:G22))</f>
        <v/>
      </c>
      <c r="H23" s="24">
        <f>IF(H$8="2023","",SUM(H18:H22))</f>
        <v/>
      </c>
      <c r="I23" s="24">
        <f>IF(I$8="2023","",SUM(I18:I22))</f>
        <v/>
      </c>
      <c r="J23" s="24">
        <f>IF(J$8="2023","",SUM(J18:J22))</f>
        <v/>
      </c>
      <c r="K23" s="24">
        <f>IF(K$8="2023","",SUM(K18:K22))</f>
        <v/>
      </c>
      <c r="L23" s="24">
        <f>IF(L$8="2023","",SUM(L18:L22))</f>
        <v/>
      </c>
      <c r="M23" s="24">
        <f>IF(M$8="2023","",SUM(M18:M22))</f>
        <v/>
      </c>
      <c r="N23" s="122" t="n"/>
      <c r="O23" s="122" t="n"/>
    </row>
    <row r="24">
      <c r="A24" s="17" t="inlineStr">
        <is>
          <t>Frete unitário — Sudeste</t>
        </is>
      </c>
      <c r="B24" s="2" t="inlineStr">
        <is>
          <t>R$/un</t>
        </is>
      </c>
      <c r="C24" s="25" t="n"/>
      <c r="D24" s="25" t="n">
        <v>0.040654</v>
      </c>
      <c r="E24" s="25" t="n">
        <v>0.040654</v>
      </c>
      <c r="F24" s="25" t="n">
        <v>0.040654</v>
      </c>
      <c r="G24" s="25" t="n">
        <v>0.040654</v>
      </c>
      <c r="H24" s="25" t="n">
        <v>0.040654</v>
      </c>
      <c r="I24" s="25" t="n">
        <v>0.040654</v>
      </c>
      <c r="J24" s="25" t="n">
        <v>0.040654</v>
      </c>
      <c r="K24" s="25" t="n">
        <v>0.040654</v>
      </c>
      <c r="L24" s="25" t="n">
        <v>0.040654</v>
      </c>
      <c r="M24" s="25" t="n">
        <v>0.040654</v>
      </c>
      <c r="N24" s="122" t="n"/>
      <c r="O24" s="2" t="inlineStr">
        <is>
          <t>Derivado de 20. Custos Unitários!C114:G123 / share / unidades. Constante por unidade em todo o horizonte.</t>
        </is>
      </c>
    </row>
    <row r="25">
      <c r="A25" s="17" t="inlineStr">
        <is>
          <t>Frete unitário — Sul</t>
        </is>
      </c>
      <c r="B25" s="2" t="inlineStr">
        <is>
          <t>R$/un</t>
        </is>
      </c>
      <c r="C25" s="25" t="n"/>
      <c r="D25" s="25" t="n">
        <v>0.097814</v>
      </c>
      <c r="E25" s="25" t="n">
        <v>0.097814</v>
      </c>
      <c r="F25" s="25" t="n">
        <v>0.097814</v>
      </c>
      <c r="G25" s="25" t="n">
        <v>0.097814</v>
      </c>
      <c r="H25" s="25" t="n">
        <v>0.097814</v>
      </c>
      <c r="I25" s="25" t="n">
        <v>0.097814</v>
      </c>
      <c r="J25" s="25" t="n">
        <v>0.097814</v>
      </c>
      <c r="K25" s="25" t="n">
        <v>0.097814</v>
      </c>
      <c r="L25" s="25" t="n">
        <v>0.097814</v>
      </c>
      <c r="M25" s="25" t="n">
        <v>0.097814</v>
      </c>
      <c r="N25" s="122" t="n"/>
      <c r="O25" s="2" t="inlineStr">
        <is>
          <t>Derivado de 20. Custos Unitários!C114:G123 / share / unidades. Constante por unidade em todo o horizonte.</t>
        </is>
      </c>
    </row>
    <row r="26">
      <c r="A26" s="17" t="inlineStr">
        <is>
          <t>Frete unitário — Nordeste</t>
        </is>
      </c>
      <c r="B26" s="2" t="inlineStr">
        <is>
          <t>R$/un</t>
        </is>
      </c>
      <c r="C26" s="25" t="n"/>
      <c r="D26" s="25" t="n">
        <v>0.198798</v>
      </c>
      <c r="E26" s="25" t="n">
        <v>0.198798</v>
      </c>
      <c r="F26" s="25" t="n">
        <v>0.198798</v>
      </c>
      <c r="G26" s="25" t="n">
        <v>0.198798</v>
      </c>
      <c r="H26" s="25" t="n">
        <v>0.198798</v>
      </c>
      <c r="I26" s="25" t="n">
        <v>0.198798</v>
      </c>
      <c r="J26" s="25" t="n">
        <v>0.198798</v>
      </c>
      <c r="K26" s="25" t="n">
        <v>0.198798</v>
      </c>
      <c r="L26" s="25" t="n">
        <v>0.198798</v>
      </c>
      <c r="M26" s="25" t="n">
        <v>0.198798</v>
      </c>
      <c r="N26" s="122" t="n"/>
      <c r="O26" s="2" t="inlineStr">
        <is>
          <t>Derivado de 20. Custos Unitários!C114:G123 / share / unidades. Constante por unidade em todo o horizonte.</t>
        </is>
      </c>
    </row>
    <row r="27">
      <c r="A27" s="17" t="inlineStr">
        <is>
          <t>Frete unitário — Norte</t>
        </is>
      </c>
      <c r="B27" s="2" t="inlineStr">
        <is>
          <t>R$/un</t>
        </is>
      </c>
      <c r="C27" s="25" t="n"/>
      <c r="D27" s="25" t="n">
        <v>0.299174</v>
      </c>
      <c r="E27" s="25" t="n">
        <v>0.299174</v>
      </c>
      <c r="F27" s="25" t="n">
        <v>0.299174</v>
      </c>
      <c r="G27" s="25" t="n">
        <v>0.299174</v>
      </c>
      <c r="H27" s="25" t="n">
        <v>0.299174</v>
      </c>
      <c r="I27" s="25" t="n">
        <v>0.299174</v>
      </c>
      <c r="J27" s="25" t="n">
        <v>0.299174</v>
      </c>
      <c r="K27" s="25" t="n">
        <v>0.299174</v>
      </c>
      <c r="L27" s="25" t="n">
        <v>0.299174</v>
      </c>
      <c r="M27" s="25" t="n">
        <v>0.299174</v>
      </c>
      <c r="N27" s="122" t="n"/>
      <c r="O27" s="2" t="inlineStr">
        <is>
          <t>Derivado de 20. Custos Unitários!C114:G123 / share / unidades. Constante por unidade em todo o horizonte.</t>
        </is>
      </c>
    </row>
    <row r="28">
      <c r="A28" s="17" t="inlineStr">
        <is>
          <t>Frete unitário — Centro-Oeste</t>
        </is>
      </c>
      <c r="B28" s="2" t="inlineStr">
        <is>
          <t>R$/un</t>
        </is>
      </c>
      <c r="C28" s="25" t="n"/>
      <c r="D28" s="25" t="n">
        <v>0.121031</v>
      </c>
      <c r="E28" s="25" t="n">
        <v>0.121031</v>
      </c>
      <c r="F28" s="25" t="n">
        <v>0.121031</v>
      </c>
      <c r="G28" s="25" t="n">
        <v>0.121031</v>
      </c>
      <c r="H28" s="25" t="n">
        <v>0.121031</v>
      </c>
      <c r="I28" s="25" t="n">
        <v>0.121031</v>
      </c>
      <c r="J28" s="25" t="n">
        <v>0.121031</v>
      </c>
      <c r="K28" s="25" t="n">
        <v>0.121031</v>
      </c>
      <c r="L28" s="25" t="n">
        <v>0.121031</v>
      </c>
      <c r="M28" s="25" t="n">
        <v>0.121031</v>
      </c>
      <c r="N28" s="122" t="n"/>
      <c r="O28" s="2" t="inlineStr">
        <is>
          <t>Derivado de 20. Custos Unitários!C114:G123 / share / unidades. Constante por unidade em todo o horizonte.</t>
        </is>
      </c>
    </row>
    <row r="29">
      <c r="A29" s="21" t="inlineStr">
        <is>
          <t>FRETE UNITÁRIO PONDERADO</t>
        </is>
      </c>
      <c r="B29" s="2" t="inlineStr">
        <is>
          <t>R$/un</t>
        </is>
      </c>
      <c r="C29" s="26">
        <f>IF(C$8="2023","",SUMPRODUCT(C18:C22,C24:C28))</f>
        <v/>
      </c>
      <c r="D29" s="26">
        <f>IF(D$8="2023","",SUMPRODUCT(D18:D22,D24:D28))</f>
        <v/>
      </c>
      <c r="E29" s="26">
        <f>IF(E$8="2023","",SUMPRODUCT(E18:E22,E24:E28))</f>
        <v/>
      </c>
      <c r="F29" s="26">
        <f>IF(F$8="2023","",SUMPRODUCT(F18:F22,F24:F28))</f>
        <v/>
      </c>
      <c r="G29" s="26">
        <f>IF(G$8="2023","",SUMPRODUCT(G18:G22,G24:G28))</f>
        <v/>
      </c>
      <c r="H29" s="26">
        <f>IF(H$8="2023","",SUMPRODUCT(H18:H22,H24:H28))</f>
        <v/>
      </c>
      <c r="I29" s="26">
        <f>IF(I$8="2023","",SUMPRODUCT(I18:I22,I24:I28))</f>
        <v/>
      </c>
      <c r="J29" s="26">
        <f>IF(J$8="2023","",SUMPRODUCT(J18:J22,J24:J28))</f>
        <v/>
      </c>
      <c r="K29" s="26">
        <f>IF(K$8="2023","",SUMPRODUCT(K18:K22,K24:K28))</f>
        <v/>
      </c>
      <c r="L29" s="26">
        <f>IF(L$8="2023","",SUMPRODUCT(L18:L22,L24:L28))</f>
        <v/>
      </c>
      <c r="M29" s="26">
        <f>IF(M$8="2023","",SUMPRODUCT(M18:M22,M24:M28))</f>
        <v/>
      </c>
      <c r="N29" s="122" t="n"/>
      <c r="O29" s="2" t="inlineStr">
        <is>
          <t>Cálculo: SOMARPRODUTO(participações; fretes unitários).</t>
        </is>
      </c>
    </row>
    <row r="30">
      <c r="A30" s="122" t="n"/>
      <c r="B30" s="122" t="n"/>
      <c r="C30" s="122" t="n"/>
      <c r="D30" s="122" t="n"/>
      <c r="E30" s="122" t="n"/>
      <c r="F30" s="122" t="n"/>
      <c r="G30" s="122" t="n"/>
      <c r="H30" s="122" t="n"/>
      <c r="I30" s="122" t="n"/>
      <c r="J30" s="122" t="n"/>
      <c r="K30" s="122" t="n"/>
      <c r="L30" s="122" t="n"/>
      <c r="M30" s="122" t="n"/>
      <c r="N30" s="122" t="n"/>
      <c r="O30" s="122" t="n"/>
    </row>
    <row r="31">
      <c r="A31" s="15" t="inlineStr">
        <is>
          <t>C. PREÇO E MARKUP</t>
        </is>
      </c>
      <c r="B31" s="126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6" t="n"/>
      <c r="N31" s="122" t="n"/>
      <c r="O31" s="122" t="n"/>
    </row>
    <row r="32">
      <c r="A32" s="17" t="inlineStr">
        <is>
          <t>ICMS</t>
        </is>
      </c>
      <c r="B32" s="2" t="inlineStr">
        <is>
          <t>%</t>
        </is>
      </c>
      <c r="C32" s="27" t="n"/>
      <c r="D32" s="27" t="n">
        <v>0.18</v>
      </c>
      <c r="E32" s="27" t="n">
        <v>0.18</v>
      </c>
      <c r="F32" s="27" t="n">
        <v>0.18</v>
      </c>
      <c r="G32" s="27" t="n">
        <v>0.18</v>
      </c>
      <c r="H32" s="27" t="n">
        <v>0.18</v>
      </c>
      <c r="I32" s="27" t="n">
        <v>0.18</v>
      </c>
      <c r="J32" s="27" t="n">
        <v>0.18</v>
      </c>
      <c r="K32" s="27" t="n">
        <v>0.18</v>
      </c>
      <c r="L32" s="27" t="n">
        <v>0.18</v>
      </c>
      <c r="M32" s="27" t="n">
        <v>0.18</v>
      </c>
      <c r="N32" s="122" t="n"/>
      <c r="O32" s="2" t="inlineStr">
        <is>
          <t>Origem: 21. PVU!I3, alíquota que estava dentro da fórmula.</t>
        </is>
      </c>
    </row>
    <row r="33">
      <c r="A33" s="17" t="inlineStr">
        <is>
          <t>PIS</t>
        </is>
      </c>
      <c r="B33" s="2" t="inlineStr">
        <is>
          <t>%</t>
        </is>
      </c>
      <c r="C33" s="27" t="n"/>
      <c r="D33" s="27" t="n">
        <v>0.0065</v>
      </c>
      <c r="E33" s="27" t="n">
        <v>0.0065</v>
      </c>
      <c r="F33" s="27" t="n">
        <v>0.0065</v>
      </c>
      <c r="G33" s="27" t="n">
        <v>0.0065</v>
      </c>
      <c r="H33" s="27" t="n">
        <v>0.0065</v>
      </c>
      <c r="I33" s="27" t="n">
        <v>0.0065</v>
      </c>
      <c r="J33" s="27" t="n">
        <v>0.0065</v>
      </c>
      <c r="K33" s="27" t="n">
        <v>0.0065</v>
      </c>
      <c r="L33" s="27" t="n">
        <v>0.0065</v>
      </c>
      <c r="M33" s="27" t="n">
        <v>0.0065</v>
      </c>
      <c r="N33" s="122" t="n"/>
      <c r="O33" s="2" t="inlineStr">
        <is>
          <t>Origem: 21. PVU!I3.</t>
        </is>
      </c>
    </row>
    <row r="34">
      <c r="A34" s="17" t="inlineStr">
        <is>
          <t>COFINS</t>
        </is>
      </c>
      <c r="B34" s="2" t="inlineStr">
        <is>
          <t>%</t>
        </is>
      </c>
      <c r="C34" s="27" t="n"/>
      <c r="D34" s="27" t="n">
        <v>0.03</v>
      </c>
      <c r="E34" s="27" t="n">
        <v>0.03</v>
      </c>
      <c r="F34" s="27" t="n">
        <v>0.03</v>
      </c>
      <c r="G34" s="27" t="n">
        <v>0.03</v>
      </c>
      <c r="H34" s="27" t="n">
        <v>0.03</v>
      </c>
      <c r="I34" s="27" t="n">
        <v>0.03</v>
      </c>
      <c r="J34" s="27" t="n">
        <v>0.03</v>
      </c>
      <c r="K34" s="27" t="n">
        <v>0.03</v>
      </c>
      <c r="L34" s="27" t="n">
        <v>0.03</v>
      </c>
      <c r="M34" s="27" t="n">
        <v>0.03</v>
      </c>
      <c r="N34" s="122" t="n"/>
      <c r="O34" s="2" t="inlineStr">
        <is>
          <t>Origem: 21. PVU!I3.</t>
        </is>
      </c>
    </row>
    <row r="35">
      <c r="A35" s="17" t="inlineStr">
        <is>
          <t>Comissão e outros sobre venda</t>
        </is>
      </c>
      <c r="B35" s="2" t="inlineStr">
        <is>
          <t>%</t>
        </is>
      </c>
      <c r="C35" s="27" t="n"/>
      <c r="D35" s="28" t="n">
        <v>0.03</v>
      </c>
      <c r="E35" s="28" t="n">
        <v>0.03</v>
      </c>
      <c r="F35" s="28" t="n">
        <v>0.03</v>
      </c>
      <c r="G35" s="28" t="n">
        <v>0.03</v>
      </c>
      <c r="H35" s="28" t="n">
        <v>0.03</v>
      </c>
      <c r="I35" s="28" t="n">
        <v>0.03</v>
      </c>
      <c r="J35" s="28" t="n">
        <v>0.03</v>
      </c>
      <c r="K35" s="28" t="n">
        <v>0.03</v>
      </c>
      <c r="L35" s="28" t="n">
        <v>0.03</v>
      </c>
      <c r="M35" s="28" t="n">
        <v>0.03</v>
      </c>
      <c r="N35" s="122" t="n"/>
      <c r="O35" s="2" t="inlineStr">
        <is>
          <t>(confirmar) — a parcela 0,03 do markup da origem nunca foi identificada nem cobrada como despesa. Aqui vira linha de custo. Zerar se não existir.</t>
        </is>
      </c>
    </row>
    <row r="36">
      <c r="A36" s="17" t="inlineStr">
        <is>
          <t>Margem-alvo sobre preço</t>
        </is>
      </c>
      <c r="B36" s="2" t="inlineStr">
        <is>
          <t>%</t>
        </is>
      </c>
      <c r="C36" s="29" t="n"/>
      <c r="D36" s="30" t="n">
        <v>0.25</v>
      </c>
      <c r="E36" s="30" t="n">
        <v>0.27</v>
      </c>
      <c r="F36" s="30" t="n">
        <v>0.29</v>
      </c>
      <c r="G36" s="30" t="n">
        <v>0.31</v>
      </c>
      <c r="H36" s="30" t="n">
        <v>0.33</v>
      </c>
      <c r="I36" s="30" t="n">
        <v>0.35</v>
      </c>
      <c r="J36" s="30" t="n">
        <v>0.37</v>
      </c>
      <c r="K36" s="30" t="n">
        <v>0.39</v>
      </c>
      <c r="L36" s="30" t="n">
        <v>0.41</v>
      </c>
      <c r="M36" s="30" t="n">
        <v>0.43</v>
      </c>
      <c r="N36" s="122" t="n"/>
      <c r="O36" s="2" t="inlineStr">
        <is>
          <t>(confirmar) — origem: 21. PVU!B3:B12, sobe 2 p.p. ao ano até 43% sem justificativa de mercado.</t>
        </is>
      </c>
    </row>
    <row r="37">
      <c r="A37" s="17" t="inlineStr">
        <is>
          <t>Δ margem-alvo do cenário</t>
        </is>
      </c>
      <c r="B37" s="2" t="inlineStr">
        <is>
          <t>p.p.</t>
        </is>
      </c>
      <c r="C37" s="20">
        <f>IF(C$8="2023","",INDEX($C$89:$E$89,1,$C$5))</f>
        <v/>
      </c>
      <c r="D37" s="20">
        <f>IF(D$8="2023","",INDEX($C$89:$E$89,1,$C$5))</f>
        <v/>
      </c>
      <c r="E37" s="20">
        <f>IF(E$8="2023","",INDEX($C$89:$E$89,1,$C$5))</f>
        <v/>
      </c>
      <c r="F37" s="20">
        <f>IF(F$8="2023","",INDEX($C$89:$E$89,1,$C$5))</f>
        <v/>
      </c>
      <c r="G37" s="20">
        <f>IF(G$8="2023","",INDEX($C$89:$E$89,1,$C$5))</f>
        <v/>
      </c>
      <c r="H37" s="20">
        <f>IF(H$8="2023","",INDEX($C$89:$E$89,1,$C$5))</f>
        <v/>
      </c>
      <c r="I37" s="20">
        <f>IF(I$8="2023","",INDEX($C$89:$E$89,1,$C$5))</f>
        <v/>
      </c>
      <c r="J37" s="20">
        <f>IF(J$8="2023","",INDEX($C$89:$E$89,1,$C$5))</f>
        <v/>
      </c>
      <c r="K37" s="20">
        <f>IF(K$8="2023","",INDEX($C$89:$E$89,1,$C$5))</f>
        <v/>
      </c>
      <c r="L37" s="20">
        <f>IF(L$8="2023","",INDEX($C$89:$E$89,1,$C$5))</f>
        <v/>
      </c>
      <c r="M37" s="20">
        <f>IF(M$8="2023","",INDEX($C$89:$E$89,1,$C$5))</f>
        <v/>
      </c>
      <c r="N37" s="122" t="n"/>
      <c r="O37" s="2" t="inlineStr">
        <is>
          <t>Alavanca de cenário — bloco J.</t>
        </is>
      </c>
    </row>
    <row r="38">
      <c r="A38" s="17" t="inlineStr">
        <is>
          <t>MODO DE PRECIFICAÇÃO</t>
        </is>
      </c>
      <c r="B38" s="2" t="inlineStr">
        <is>
          <t>1 ou 2</t>
        </is>
      </c>
      <c r="C38" s="31" t="n">
        <v>1</v>
      </c>
      <c r="D38" s="122" t="n"/>
      <c r="E38" s="122" t="n"/>
      <c r="F38" s="122" t="n"/>
      <c r="G38" s="122" t="n"/>
      <c r="H38" s="122" t="n"/>
      <c r="I38" s="122" t="n"/>
      <c r="J38" s="122" t="n"/>
      <c r="K38" s="122" t="n"/>
      <c r="L38" s="122" t="n"/>
      <c r="M38" s="122" t="n"/>
      <c r="N38" s="122" t="n"/>
      <c r="O38" s="2" t="inlineStr">
        <is>
          <t>1 = custo + markup (a lógica da origem) · 2 = preço de mercado fixo. No modo 1 o preço sobe junto com o custo: o modelo PREMIA ineficiência. Ver D-07 em gaps-e-decisoes.</t>
        </is>
      </c>
    </row>
    <row r="39">
      <c r="A39" s="17" t="inlineStr">
        <is>
          <t>Preço de mercado</t>
        </is>
      </c>
      <c r="B39" s="2" t="inlineStr">
        <is>
          <t>R$/un</t>
        </is>
      </c>
      <c r="C39" s="32" t="n"/>
      <c r="D39" s="33" t="n">
        <v>30.4717</v>
      </c>
      <c r="E39" s="33" t="n">
        <v>30.832</v>
      </c>
      <c r="F39" s="33" t="n">
        <v>31.341</v>
      </c>
      <c r="G39" s="33" t="n">
        <v>32.0037</v>
      </c>
      <c r="H39" s="33" t="n">
        <v>32.9725</v>
      </c>
      <c r="I39" s="33" t="n">
        <v>34.0046</v>
      </c>
      <c r="J39" s="33" t="n">
        <v>35.1081</v>
      </c>
      <c r="K39" s="33" t="n">
        <v>36.6072</v>
      </c>
      <c r="L39" s="33" t="n">
        <v>38.0728</v>
      </c>
      <c r="M39" s="33" t="n">
        <v>39.7606</v>
      </c>
      <c r="N39" s="122" t="n"/>
      <c r="O39" s="2" t="inlineStr">
        <is>
          <t>(confirmar) — semeado com o preço que o modo 1 gera no cenário Base. Substituir por preço observado de doce de leite 600 g quando houver fonte.</t>
        </is>
      </c>
    </row>
    <row r="40">
      <c r="A40" s="21" t="inlineStr">
        <is>
          <t>MARKUP TOTAL</t>
        </is>
      </c>
      <c r="B40" s="2" t="inlineStr">
        <is>
          <t>%</t>
        </is>
      </c>
      <c r="C40" s="24">
        <f>IF(C$8="2023","",C32+C33+C34+C35+C36+C37)</f>
        <v/>
      </c>
      <c r="D40" s="24">
        <f>IF(D$8="2023","",D32+D33+D34+D35+D36+D37)</f>
        <v/>
      </c>
      <c r="E40" s="24">
        <f>IF(E$8="2023","",E32+E33+E34+E35+E36+E37)</f>
        <v/>
      </c>
      <c r="F40" s="24">
        <f>IF(F$8="2023","",F32+F33+F34+F35+F36+F37)</f>
        <v/>
      </c>
      <c r="G40" s="24">
        <f>IF(G$8="2023","",G32+G33+G34+G35+G36+G37)</f>
        <v/>
      </c>
      <c r="H40" s="24">
        <f>IF(H$8="2023","",H32+H33+H34+H35+H36+H37)</f>
        <v/>
      </c>
      <c r="I40" s="24">
        <f>IF(I$8="2023","",I32+I33+I34+I35+I36+I37)</f>
        <v/>
      </c>
      <c r="J40" s="24">
        <f>IF(J$8="2023","",J32+J33+J34+J35+J36+J37)</f>
        <v/>
      </c>
      <c r="K40" s="24">
        <f>IF(K$8="2023","",K32+K33+K34+K35+K36+K37)</f>
        <v/>
      </c>
      <c r="L40" s="24">
        <f>IF(L$8="2023","",L32+L33+L34+L35+L36+L37)</f>
        <v/>
      </c>
      <c r="M40" s="24">
        <f>IF(M$8="2023","",M32+M33+M34+M35+M36+M37)</f>
        <v/>
      </c>
      <c r="N40" s="122" t="n"/>
      <c r="O40" s="2" t="inlineStr">
        <is>
          <t>Cálculo: ICMS + PIS + COFINS + comissão + margem-alvo. Era =0,18+0,0065+0,03+0,03+0,25 numa célula só.</t>
        </is>
      </c>
    </row>
    <row r="41">
      <c r="A41" s="122" t="n"/>
      <c r="B41" s="122" t="n"/>
      <c r="C41" s="122" t="n"/>
      <c r="D41" s="122" t="n"/>
      <c r="E41" s="122" t="n"/>
      <c r="F41" s="122" t="n"/>
      <c r="G41" s="122" t="n"/>
      <c r="H41" s="122" t="n"/>
      <c r="I41" s="122" t="n"/>
      <c r="J41" s="122" t="n"/>
      <c r="K41" s="122" t="n"/>
      <c r="L41" s="122" t="n"/>
      <c r="M41" s="122" t="n"/>
      <c r="N41" s="122" t="n"/>
      <c r="O41" s="122" t="n"/>
    </row>
    <row r="42">
      <c r="A42" s="15" t="inlineStr">
        <is>
          <t>D. CUSTOS OPERACIONAIS</t>
        </is>
      </c>
      <c r="B42" s="126" t="n"/>
      <c r="C42" s="126" t="n"/>
      <c r="D42" s="126" t="n"/>
      <c r="E42" s="126" t="n"/>
      <c r="F42" s="126" t="n"/>
      <c r="G42" s="126" t="n"/>
      <c r="H42" s="126" t="n"/>
      <c r="I42" s="126" t="n"/>
      <c r="J42" s="126" t="n"/>
      <c r="K42" s="126" t="n"/>
      <c r="L42" s="126" t="n"/>
      <c r="M42" s="126" t="n"/>
      <c r="N42" s="122" t="n"/>
      <c r="O42" s="122" t="n"/>
    </row>
    <row r="43">
      <c r="A43" s="17" t="inlineStr">
        <is>
          <t>Custo variável unitário (ex-frete)</t>
        </is>
      </c>
      <c r="B43" s="2" t="inlineStr">
        <is>
          <t>R$/un</t>
        </is>
      </c>
      <c r="C43" s="32" t="n"/>
      <c r="D43" s="32" t="n">
        <v>11.1316</v>
      </c>
      <c r="E43" s="32" t="n">
        <v>11.0931</v>
      </c>
      <c r="F43" s="32" t="n">
        <v>11.0712</v>
      </c>
      <c r="G43" s="32" t="n">
        <v>11.0489</v>
      </c>
      <c r="H43" s="32" t="n">
        <v>11.0951</v>
      </c>
      <c r="I43" s="32" t="n">
        <v>11.0763</v>
      </c>
      <c r="J43" s="32" t="n">
        <v>11.0478</v>
      </c>
      <c r="K43" s="32" t="n">
        <v>11.104</v>
      </c>
      <c r="L43" s="32" t="n">
        <v>11.0842</v>
      </c>
      <c r="M43" s="32" t="n">
        <v>11.0533</v>
      </c>
      <c r="N43" s="122" t="n"/>
      <c r="O43" s="2" t="inlineStr">
        <is>
          <t>Derivado: (20. Custos Unitários!K − I) / unidades produzidas. MP, embalagens, insumos, energia, água, EPI, limpeza.</t>
        </is>
      </c>
    </row>
    <row r="44">
      <c r="A44" s="17" t="inlineStr">
        <is>
          <t>Δ custo variável unitário do cenário</t>
        </is>
      </c>
      <c r="B44" s="2" t="inlineStr">
        <is>
          <t>%</t>
        </is>
      </c>
      <c r="C44" s="20">
        <f>IF(C$8="2023","",INDEX($C$90:$E$90,1,$C$5))</f>
        <v/>
      </c>
      <c r="D44" s="20">
        <f>IF(D$8="2023","",INDEX($C$90:$E$90,1,$C$5))</f>
        <v/>
      </c>
      <c r="E44" s="20">
        <f>IF(E$8="2023","",INDEX($C$90:$E$90,1,$C$5))</f>
        <v/>
      </c>
      <c r="F44" s="20">
        <f>IF(F$8="2023","",INDEX($C$90:$E$90,1,$C$5))</f>
        <v/>
      </c>
      <c r="G44" s="20">
        <f>IF(G$8="2023","",INDEX($C$90:$E$90,1,$C$5))</f>
        <v/>
      </c>
      <c r="H44" s="20">
        <f>IF(H$8="2023","",INDEX($C$90:$E$90,1,$C$5))</f>
        <v/>
      </c>
      <c r="I44" s="20">
        <f>IF(I$8="2023","",INDEX($C$90:$E$90,1,$C$5))</f>
        <v/>
      </c>
      <c r="J44" s="20">
        <f>IF(J$8="2023","",INDEX($C$90:$E$90,1,$C$5))</f>
        <v/>
      </c>
      <c r="K44" s="20">
        <f>IF(K$8="2023","",INDEX($C$90:$E$90,1,$C$5))</f>
        <v/>
      </c>
      <c r="L44" s="20">
        <f>IF(L$8="2023","",INDEX($C$90:$E$90,1,$C$5))</f>
        <v/>
      </c>
      <c r="M44" s="20">
        <f>IF(M$8="2023","",INDEX($C$90:$E$90,1,$C$5))</f>
        <v/>
      </c>
      <c r="N44" s="122" t="n"/>
      <c r="O44" s="2" t="inlineStr">
        <is>
          <t>Alavanca de cenário — bloco J.</t>
        </is>
      </c>
    </row>
    <row r="45">
      <c r="A45" s="21" t="inlineStr">
        <is>
          <t>CUSTO VARIÁVEL UNITÁRIO DO MODELO</t>
        </is>
      </c>
      <c r="B45" s="2" t="inlineStr">
        <is>
          <t>R$/un</t>
        </is>
      </c>
      <c r="C45" s="34">
        <f>IF(C$8="2023","",C43*(1+C44))</f>
        <v/>
      </c>
      <c r="D45" s="34">
        <f>IF(D$8="2023","",D43*(1+D44))</f>
        <v/>
      </c>
      <c r="E45" s="34">
        <f>IF(E$8="2023","",E43*(1+E44))</f>
        <v/>
      </c>
      <c r="F45" s="34">
        <f>IF(F$8="2023","",F43*(1+F44))</f>
        <v/>
      </c>
      <c r="G45" s="34">
        <f>IF(G$8="2023","",G43*(1+G44))</f>
        <v/>
      </c>
      <c r="H45" s="34">
        <f>IF(H$8="2023","",H43*(1+H44))</f>
        <v/>
      </c>
      <c r="I45" s="34">
        <f>IF(I$8="2023","",I43*(1+I44))</f>
        <v/>
      </c>
      <c r="J45" s="34">
        <f>IF(J$8="2023","",J43*(1+J44))</f>
        <v/>
      </c>
      <c r="K45" s="34">
        <f>IF(K$8="2023","",K43*(1+K44))</f>
        <v/>
      </c>
      <c r="L45" s="34">
        <f>IF(L$8="2023","",L43*(1+L44))</f>
        <v/>
      </c>
      <c r="M45" s="34">
        <f>IF(M$8="2023","",M43*(1+M44))</f>
        <v/>
      </c>
      <c r="N45" s="122" t="n"/>
      <c r="O45" s="122" t="n"/>
    </row>
    <row r="46">
      <c r="A46" s="17" t="inlineStr">
        <is>
          <t>Custo fixo de estrutura (caixa)</t>
        </is>
      </c>
      <c r="B46" s="2" t="inlineStr">
        <is>
          <t>R$/ano</t>
        </is>
      </c>
      <c r="C46" s="35" t="n"/>
      <c r="D46" s="35" t="n">
        <v>1792483.81</v>
      </c>
      <c r="E46" s="35" t="n">
        <v>1792449.99</v>
      </c>
      <c r="F46" s="35" t="n">
        <v>1792449.99</v>
      </c>
      <c r="G46" s="35" t="n">
        <v>1792449.99</v>
      </c>
      <c r="H46" s="35" t="n">
        <v>1886512.47</v>
      </c>
      <c r="I46" s="35" t="n">
        <v>1886547.98</v>
      </c>
      <c r="J46" s="35" t="n">
        <v>1886547.98</v>
      </c>
      <c r="K46" s="35" t="n">
        <v>1886547.98</v>
      </c>
      <c r="L46" s="35" t="n">
        <v>1886583.49</v>
      </c>
      <c r="M46" s="35" t="n">
        <v>1886512.47</v>
      </c>
      <c r="N46" s="122" t="n"/>
      <c r="O46" s="2" t="inlineStr">
        <is>
          <t>Origem: 20. Custos Unitários, colunas L+M+N+O+Q (mat. administrativo, higiene, folha, encargos, laboratório).</t>
        </is>
      </c>
    </row>
    <row r="47">
      <c r="A47" s="17" t="inlineStr">
        <is>
          <t>Manutenção</t>
        </is>
      </c>
      <c r="B47" s="2" t="inlineStr">
        <is>
          <t>% do CAPEX acumulado</t>
        </is>
      </c>
      <c r="C47" s="29" t="n"/>
      <c r="D47" s="29" t="n">
        <v>0.03</v>
      </c>
      <c r="E47" s="29" t="n">
        <v>0.03</v>
      </c>
      <c r="F47" s="29" t="n">
        <v>0.03</v>
      </c>
      <c r="G47" s="29" t="n">
        <v>0.03</v>
      </c>
      <c r="H47" s="29" t="n">
        <v>0.03</v>
      </c>
      <c r="I47" s="29" t="n">
        <v>0.03</v>
      </c>
      <c r="J47" s="29" t="n">
        <v>0.03</v>
      </c>
      <c r="K47" s="29" t="n">
        <v>0.03</v>
      </c>
      <c r="L47" s="29" t="n">
        <v>0.03</v>
      </c>
      <c r="M47" s="29" t="n">
        <v>0.03</v>
      </c>
      <c r="N47" s="122" t="n"/>
      <c r="O47" s="2" t="inlineStr">
        <is>
          <t>Origem: 20. Custos Unitários!R3 = 3% do CAPEX. Era % literal repetido em 10 linhas.</t>
        </is>
      </c>
    </row>
    <row r="48">
      <c r="A48" s="17" t="inlineStr">
        <is>
          <t>Seguro</t>
        </is>
      </c>
      <c r="B48" s="2" t="inlineStr">
        <is>
          <t>% do CAPEX acumulado</t>
        </is>
      </c>
      <c r="C48" s="29" t="n"/>
      <c r="D48" s="29" t="n">
        <v>0.015</v>
      </c>
      <c r="E48" s="29" t="n">
        <v>0.015</v>
      </c>
      <c r="F48" s="29" t="n">
        <v>0.015</v>
      </c>
      <c r="G48" s="29" t="n">
        <v>0.015</v>
      </c>
      <c r="H48" s="29" t="n">
        <v>0.015</v>
      </c>
      <c r="I48" s="29" t="n">
        <v>0.015</v>
      </c>
      <c r="J48" s="29" t="n">
        <v>0.015</v>
      </c>
      <c r="K48" s="29" t="n">
        <v>0.015</v>
      </c>
      <c r="L48" s="29" t="n">
        <v>0.015</v>
      </c>
      <c r="M48" s="29" t="n">
        <v>0.015</v>
      </c>
      <c r="N48" s="122" t="n"/>
      <c r="O48" s="2" t="inlineStr">
        <is>
          <t>Origem: 20. Custos Unitários!S3 = 1,5% do CAPEX.</t>
        </is>
      </c>
    </row>
    <row r="49">
      <c r="A49" s="17" t="inlineStr">
        <is>
          <t>Contingência (imprevistos)</t>
        </is>
      </c>
      <c r="B49" s="2" t="inlineStr">
        <is>
          <t>% do CAPEX acumulado</t>
        </is>
      </c>
      <c r="C49" s="20">
        <f>IF(C$8="2023","",INDEX($C$91:$E$91,1,$C$5))</f>
        <v/>
      </c>
      <c r="D49" s="36">
        <f>IF(D$8="2023","",INDEX($C$91:$E$91,1,$C$5))</f>
        <v/>
      </c>
      <c r="E49" s="36">
        <f>IF(E$8="2023","",INDEX($C$91:$E$91,1,$C$5))</f>
        <v/>
      </c>
      <c r="F49" s="36">
        <f>IF(F$8="2023","",INDEX($C$91:$E$91,1,$C$5))</f>
        <v/>
      </c>
      <c r="G49" s="36">
        <f>IF(G$8="2023","",INDEX($C$91:$E$91,1,$C$5))</f>
        <v/>
      </c>
      <c r="H49" s="36">
        <f>IF(H$8="2023","",INDEX($C$91:$E$91,1,$C$5))</f>
        <v/>
      </c>
      <c r="I49" s="36">
        <f>IF(I$8="2023","",INDEX($C$91:$E$91,1,$C$5))</f>
        <v/>
      </c>
      <c r="J49" s="36">
        <f>IF(J$8="2023","",INDEX($C$91:$E$91,1,$C$5))</f>
        <v/>
      </c>
      <c r="K49" s="36">
        <f>IF(K$8="2023","",INDEX($C$91:$E$91,1,$C$5))</f>
        <v/>
      </c>
      <c r="L49" s="36">
        <f>IF(L$8="2023","",INDEX($C$91:$E$91,1,$C$5))</f>
        <v/>
      </c>
      <c r="M49" s="36">
        <f>IF(M$8="2023","",INDEX($C$91:$E$91,1,$C$5))</f>
        <v/>
      </c>
      <c r="N49" s="122" t="n"/>
      <c r="O49" s="2" t="inlineStr">
        <is>
          <t>(confirmar) — origem: 20. Custos Unitários!T3 = 10% do CAPEX TODO ANO. Em 10 anos consome 100% do CAPEX. É a maior premissa não justificada do modelo. Alavanca de cenário.</t>
        </is>
      </c>
    </row>
    <row r="50">
      <c r="A50" s="122" t="n"/>
      <c r="B50" s="122" t="n"/>
      <c r="C50" s="122" t="n"/>
      <c r="D50" s="122" t="n"/>
      <c r="E50" s="122" t="n"/>
      <c r="F50" s="122" t="n"/>
      <c r="G50" s="122" t="n"/>
      <c r="H50" s="122" t="n"/>
      <c r="I50" s="122" t="n"/>
      <c r="J50" s="122" t="n"/>
      <c r="K50" s="122" t="n"/>
      <c r="L50" s="122" t="n"/>
      <c r="M50" s="122" t="n"/>
      <c r="N50" s="122" t="n"/>
      <c r="O50" s="122" t="n"/>
    </row>
    <row r="51">
      <c r="A51" s="15" t="inlineStr">
        <is>
          <t>E. CAPEX</t>
        </is>
      </c>
      <c r="B51" s="126" t="n"/>
      <c r="C51" s="126" t="n"/>
      <c r="D51" s="126" t="n"/>
      <c r="E51" s="126" t="n"/>
      <c r="F51" s="126" t="n"/>
      <c r="G51" s="126" t="n"/>
      <c r="H51" s="126" t="n"/>
      <c r="I51" s="126" t="n"/>
      <c r="J51" s="126" t="n"/>
      <c r="K51" s="126" t="n"/>
      <c r="L51" s="126" t="n"/>
      <c r="M51" s="126" t="n"/>
      <c r="N51" s="122" t="n"/>
      <c r="O51" s="122" t="n"/>
    </row>
    <row r="52">
      <c r="A52" s="17" t="inlineStr">
        <is>
          <t>CAPEX da origem (como estava)</t>
        </is>
      </c>
      <c r="B52" s="2" t="inlineStr">
        <is>
          <t>R$</t>
        </is>
      </c>
      <c r="C52" s="19" t="n">
        <v>17112602.073</v>
      </c>
      <c r="D52" s="19" t="n">
        <v>0</v>
      </c>
      <c r="E52" s="19" t="n">
        <v>0</v>
      </c>
      <c r="F52" s="19" t="n">
        <v>0</v>
      </c>
      <c r="G52" s="19" t="n">
        <v>161000</v>
      </c>
      <c r="H52" s="19" t="n">
        <v>5745001.4</v>
      </c>
      <c r="I52" s="19" t="n">
        <v>0</v>
      </c>
      <c r="J52" s="19" t="n">
        <v>338100</v>
      </c>
      <c r="K52" s="19" t="n">
        <v>0</v>
      </c>
      <c r="L52" s="19" t="n">
        <v>0</v>
      </c>
      <c r="M52" s="19" t="n">
        <v>0</v>
      </c>
      <c r="N52" s="122" t="n"/>
      <c r="O52" s="2" t="inlineStr">
        <is>
          <t>Origem: 'Demanda de equipamentos e Inves'!AA46:AA55, realocado ao ano correto (a origem pulava 2026).</t>
        </is>
      </c>
    </row>
    <row r="53">
      <c r="A53" s="21" t="inlineStr">
        <is>
          <t>CAPEX corrigido</t>
        </is>
      </c>
      <c r="B53" s="2" t="inlineStr">
        <is>
          <t>R$</t>
        </is>
      </c>
      <c r="C53" s="37" t="n">
        <v>17110438.093</v>
      </c>
      <c r="D53" s="37" t="n">
        <v>0</v>
      </c>
      <c r="E53" s="37" t="n">
        <v>0</v>
      </c>
      <c r="F53" s="37" t="n">
        <v>0</v>
      </c>
      <c r="G53" s="37" t="n">
        <v>161000</v>
      </c>
      <c r="H53" s="37" t="n">
        <v>143118.65</v>
      </c>
      <c r="I53" s="37" t="n">
        <v>0</v>
      </c>
      <c r="J53" s="37" t="n">
        <v>289800</v>
      </c>
      <c r="K53" s="37" t="n">
        <v>0</v>
      </c>
      <c r="L53" s="37" t="n">
        <v>0</v>
      </c>
      <c r="M53" s="37" t="n">
        <v>0</v>
      </c>
      <c r="N53" s="122" t="n"/>
      <c r="O53" s="2" t="inlineStr">
        <is>
          <t>Ver A-01/A-02/A-03 em leitura-da-origem.md: CUB somado como investimento, notebook ao preço do tanque de leite, soma ao quadrado no laboratório e empilhadeira contada duas vezes.</t>
        </is>
      </c>
    </row>
    <row r="54">
      <c r="A54" s="17" t="inlineStr">
        <is>
          <t>CAPEX acumulado</t>
        </is>
      </c>
      <c r="B54" s="2" t="inlineStr">
        <is>
          <t>R$</t>
        </is>
      </c>
      <c r="C54" s="38">
        <f>C53</f>
        <v/>
      </c>
      <c r="D54" s="38">
        <f>C54+D53</f>
        <v/>
      </c>
      <c r="E54" s="38">
        <f>D54+E53</f>
        <v/>
      </c>
      <c r="F54" s="38">
        <f>E54+F53</f>
        <v/>
      </c>
      <c r="G54" s="38">
        <f>F54+G53</f>
        <v/>
      </c>
      <c r="H54" s="38">
        <f>G54+H53</f>
        <v/>
      </c>
      <c r="I54" s="38">
        <f>H54+I53</f>
        <v/>
      </c>
      <c r="J54" s="38">
        <f>I54+J53</f>
        <v/>
      </c>
      <c r="K54" s="38">
        <f>J54+K53</f>
        <v/>
      </c>
      <c r="L54" s="38">
        <f>K54+L53</f>
        <v/>
      </c>
      <c r="M54" s="38">
        <f>L54+M53</f>
        <v/>
      </c>
      <c r="N54" s="122" t="n"/>
      <c r="O54" s="122" t="n"/>
    </row>
    <row r="55">
      <c r="A55" s="17" t="inlineStr">
        <is>
          <t>Terreno (não depreciável)</t>
        </is>
      </c>
      <c r="B55" s="2" t="inlineStr">
        <is>
          <t>R$</t>
        </is>
      </c>
      <c r="C55" s="35" t="n">
        <v>908611.9</v>
      </c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122" t="n"/>
      <c r="O55" s="2" t="inlineStr">
        <is>
          <t>Origem: 'Demanda...'!AM6 = 849.170 x 1,07. Tratamento correto na origem.</t>
        </is>
      </c>
    </row>
    <row r="56">
      <c r="A56" s="122" t="n"/>
      <c r="B56" s="122" t="n"/>
      <c r="C56" s="122" t="n"/>
      <c r="D56" s="122" t="n"/>
      <c r="E56" s="122" t="n"/>
      <c r="F56" s="122" t="n"/>
      <c r="G56" s="122" t="n"/>
      <c r="H56" s="122" t="n"/>
      <c r="I56" s="122" t="n"/>
      <c r="J56" s="122" t="n"/>
      <c r="K56" s="122" t="n"/>
      <c r="L56" s="122" t="n"/>
      <c r="M56" s="122" t="n"/>
      <c r="N56" s="122" t="n"/>
      <c r="O56" s="122" t="n"/>
    </row>
    <row r="57">
      <c r="A57" s="15" t="inlineStr">
        <is>
          <t>F. TRIBUTOS SOBRE O LUCRO</t>
        </is>
      </c>
      <c r="B57" s="126" t="n"/>
      <c r="C57" s="126" t="n"/>
      <c r="D57" s="126" t="n"/>
      <c r="E57" s="126" t="n"/>
      <c r="F57" s="126" t="n"/>
      <c r="G57" s="126" t="n"/>
      <c r="H57" s="126" t="n"/>
      <c r="I57" s="126" t="n"/>
      <c r="J57" s="126" t="n"/>
      <c r="K57" s="126" t="n"/>
      <c r="L57" s="126" t="n"/>
      <c r="M57" s="126" t="n"/>
      <c r="N57" s="122" t="n"/>
      <c r="O57" s="122" t="n"/>
    </row>
    <row r="58">
      <c r="A58" s="17" t="inlineStr">
        <is>
          <t>IRPJ</t>
        </is>
      </c>
      <c r="B58" s="2" t="inlineStr">
        <is>
          <t>%</t>
        </is>
      </c>
      <c r="C58" s="29" t="n"/>
      <c r="D58" s="29" t="n">
        <v>0.15</v>
      </c>
      <c r="E58" s="29" t="n">
        <v>0.15</v>
      </c>
      <c r="F58" s="29" t="n">
        <v>0.15</v>
      </c>
      <c r="G58" s="29" t="n">
        <v>0.15</v>
      </c>
      <c r="H58" s="29" t="n">
        <v>0.15</v>
      </c>
      <c r="I58" s="29" t="n">
        <v>0.15</v>
      </c>
      <c r="J58" s="29" t="n">
        <v>0.15</v>
      </c>
      <c r="K58" s="29" t="n">
        <v>0.15</v>
      </c>
      <c r="L58" s="29" t="n">
        <v>0.15</v>
      </c>
      <c r="M58" s="29" t="n">
        <v>0.15</v>
      </c>
      <c r="N58" s="122" t="n"/>
      <c r="O58" s="2" t="inlineStr">
        <is>
          <t>Origem: 21. PVU!I16.</t>
        </is>
      </c>
    </row>
    <row r="59">
      <c r="A59" s="17" t="inlineStr">
        <is>
          <t>Adicional de IRPJ</t>
        </is>
      </c>
      <c r="B59" s="2" t="inlineStr">
        <is>
          <t>%</t>
        </is>
      </c>
      <c r="C59" s="29" t="n"/>
      <c r="D59" s="29" t="n">
        <v>0.1</v>
      </c>
      <c r="E59" s="29" t="n">
        <v>0.1</v>
      </c>
      <c r="F59" s="29" t="n">
        <v>0.1</v>
      </c>
      <c r="G59" s="29" t="n">
        <v>0.1</v>
      </c>
      <c r="H59" s="29" t="n">
        <v>0.1</v>
      </c>
      <c r="I59" s="29" t="n">
        <v>0.1</v>
      </c>
      <c r="J59" s="29" t="n">
        <v>0.1</v>
      </c>
      <c r="K59" s="29" t="n">
        <v>0.1</v>
      </c>
      <c r="L59" s="29" t="n">
        <v>0.1</v>
      </c>
      <c r="M59" s="29" t="n">
        <v>0.1</v>
      </c>
      <c r="N59" s="122" t="n"/>
      <c r="O59" s="2" t="inlineStr">
        <is>
          <t>Origem: 21. PVU!I16, sobre o lucro que exceder o limite. A origem não protegia lucro abaixo do limite.</t>
        </is>
      </c>
    </row>
    <row r="60">
      <c r="A60" s="17" t="inlineStr">
        <is>
          <t>Limite do adicional</t>
        </is>
      </c>
      <c r="B60" s="2" t="inlineStr">
        <is>
          <t>R$/ano</t>
        </is>
      </c>
      <c r="C60" s="35" t="n"/>
      <c r="D60" s="35" t="n">
        <v>240000</v>
      </c>
      <c r="E60" s="35" t="n">
        <v>240000</v>
      </c>
      <c r="F60" s="35" t="n">
        <v>240000</v>
      </c>
      <c r="G60" s="35" t="n">
        <v>240000</v>
      </c>
      <c r="H60" s="35" t="n">
        <v>240000</v>
      </c>
      <c r="I60" s="35" t="n">
        <v>240000</v>
      </c>
      <c r="J60" s="35" t="n">
        <v>240000</v>
      </c>
      <c r="K60" s="35" t="n">
        <v>240000</v>
      </c>
      <c r="L60" s="35" t="n">
        <v>240000</v>
      </c>
      <c r="M60" s="35" t="n">
        <v>240000</v>
      </c>
      <c r="N60" s="122" t="n"/>
      <c r="O60" s="2" t="inlineStr">
        <is>
          <t>R$ 240 mil/ano (R$ 20 mil/mês). Lucro Real.</t>
        </is>
      </c>
    </row>
    <row r="61">
      <c r="A61" s="17" t="inlineStr">
        <is>
          <t>CSLL</t>
        </is>
      </c>
      <c r="B61" s="2" t="inlineStr">
        <is>
          <t>%</t>
        </is>
      </c>
      <c r="C61" s="29" t="n"/>
      <c r="D61" s="29" t="n">
        <v>0.09</v>
      </c>
      <c r="E61" s="29" t="n">
        <v>0.09</v>
      </c>
      <c r="F61" s="29" t="n">
        <v>0.09</v>
      </c>
      <c r="G61" s="29" t="n">
        <v>0.09</v>
      </c>
      <c r="H61" s="29" t="n">
        <v>0.09</v>
      </c>
      <c r="I61" s="29" t="n">
        <v>0.09</v>
      </c>
      <c r="J61" s="29" t="n">
        <v>0.09</v>
      </c>
      <c r="K61" s="29" t="n">
        <v>0.09</v>
      </c>
      <c r="L61" s="29" t="n">
        <v>0.09</v>
      </c>
      <c r="M61" s="29" t="n">
        <v>0.09</v>
      </c>
      <c r="N61" s="122" t="n"/>
      <c r="O61" s="2" t="inlineStr">
        <is>
          <t>Origem: 21. PVU!J16.</t>
        </is>
      </c>
    </row>
    <row r="62">
      <c r="A62" s="122" t="n"/>
      <c r="B62" s="122" t="n"/>
      <c r="C62" s="122" t="n"/>
      <c r="D62" s="122" t="n"/>
      <c r="E62" s="122" t="n"/>
      <c r="F62" s="122" t="n"/>
      <c r="G62" s="122" t="n"/>
      <c r="H62" s="122" t="n"/>
      <c r="I62" s="122" t="n"/>
      <c r="J62" s="122" t="n"/>
      <c r="K62" s="122" t="n"/>
      <c r="L62" s="122" t="n"/>
      <c r="M62" s="122" t="n"/>
      <c r="N62" s="122" t="n"/>
      <c r="O62" s="122" t="n"/>
    </row>
    <row r="63">
      <c r="A63" s="15" t="inlineStr">
        <is>
          <t>G. CAPITAL DE GIRO</t>
        </is>
      </c>
      <c r="B63" s="126" t="n"/>
      <c r="C63" s="126" t="n"/>
      <c r="D63" s="126" t="n"/>
      <c r="E63" s="126" t="n"/>
      <c r="F63" s="126" t="n"/>
      <c r="G63" s="126" t="n"/>
      <c r="H63" s="126" t="n"/>
      <c r="I63" s="126" t="n"/>
      <c r="J63" s="126" t="n"/>
      <c r="K63" s="126" t="n"/>
      <c r="L63" s="126" t="n"/>
      <c r="M63" s="126" t="n"/>
      <c r="N63" s="122" t="n"/>
      <c r="O63" s="122" t="n"/>
    </row>
    <row r="64">
      <c r="A64" s="17" t="inlineStr">
        <is>
          <t>Prazo médio de recebimento</t>
        </is>
      </c>
      <c r="B64" s="2" t="inlineStr">
        <is>
          <t>dias</t>
        </is>
      </c>
      <c r="C64" s="39" t="n"/>
      <c r="D64" s="39" t="n">
        <v>30</v>
      </c>
      <c r="E64" s="39" t="n">
        <v>30</v>
      </c>
      <c r="F64" s="39" t="n">
        <v>30</v>
      </c>
      <c r="G64" s="39" t="n">
        <v>30</v>
      </c>
      <c r="H64" s="39" t="n">
        <v>30</v>
      </c>
      <c r="I64" s="39" t="n">
        <v>30</v>
      </c>
      <c r="J64" s="39" t="n">
        <v>30</v>
      </c>
      <c r="K64" s="39" t="n">
        <v>30</v>
      </c>
      <c r="L64" s="39" t="n">
        <v>30</v>
      </c>
      <c r="M64" s="39" t="n">
        <v>30</v>
      </c>
      <c r="N64" s="122" t="n"/>
      <c r="O64" s="2" t="inlineStr">
        <is>
          <t>Origem: 22.1 Capital de Giro!D22 = 30 dias.</t>
        </is>
      </c>
    </row>
    <row r="65">
      <c r="A65" s="17" t="inlineStr">
        <is>
          <t>Giro de estoque</t>
        </is>
      </c>
      <c r="B65" s="2" t="inlineStr">
        <is>
          <t>dias</t>
        </is>
      </c>
      <c r="C65" s="39" t="n"/>
      <c r="D65" s="39" t="n">
        <v>17.3</v>
      </c>
      <c r="E65" s="39" t="n">
        <v>17.3</v>
      </c>
      <c r="F65" s="39" t="n">
        <v>17.3</v>
      </c>
      <c r="G65" s="39" t="n">
        <v>17.3</v>
      </c>
      <c r="H65" s="39" t="n">
        <v>17.3</v>
      </c>
      <c r="I65" s="39" t="n">
        <v>17.3</v>
      </c>
      <c r="J65" s="39" t="n">
        <v>17.3</v>
      </c>
      <c r="K65" s="39" t="n">
        <v>17.3</v>
      </c>
      <c r="L65" s="39" t="n">
        <v>17.3</v>
      </c>
      <c r="M65" s="39" t="n">
        <v>17.3</v>
      </c>
      <c r="N65" s="122" t="n"/>
      <c r="O65" s="2" t="inlineStr">
        <is>
          <t>Derivado de 22.1 Capital de Giro!F18 do ano 1: leite gira em 1 dia, demais insumos em 30. Média ponderada = 17,3 dias.</t>
        </is>
      </c>
    </row>
    <row r="66">
      <c r="A66" s="17" t="inlineStr">
        <is>
          <t>Prazo médio de pagamento</t>
        </is>
      </c>
      <c r="B66" s="2" t="inlineStr">
        <is>
          <t>dias</t>
        </is>
      </c>
      <c r="C66" s="39" t="n"/>
      <c r="D66" s="39" t="n">
        <v>30</v>
      </c>
      <c r="E66" s="39" t="n">
        <v>30</v>
      </c>
      <c r="F66" s="39" t="n">
        <v>30</v>
      </c>
      <c r="G66" s="39" t="n">
        <v>30</v>
      </c>
      <c r="H66" s="39" t="n">
        <v>30</v>
      </c>
      <c r="I66" s="39" t="n">
        <v>30</v>
      </c>
      <c r="J66" s="39" t="n">
        <v>30</v>
      </c>
      <c r="K66" s="39" t="n">
        <v>30</v>
      </c>
      <c r="L66" s="39" t="n">
        <v>30</v>
      </c>
      <c r="M66" s="39" t="n">
        <v>30</v>
      </c>
      <c r="N66" s="122" t="n"/>
      <c r="O66" s="2" t="inlineStr">
        <is>
          <t>Origem: 22.1 Capital de Giro!D24:D33 = 30 dias.</t>
        </is>
      </c>
    </row>
    <row r="67">
      <c r="A67" s="17" t="inlineStr">
        <is>
          <t>Caixa mínimo</t>
        </is>
      </c>
      <c r="B67" s="2" t="inlineStr">
        <is>
          <t>dias de custo caixa</t>
        </is>
      </c>
      <c r="C67" s="39" t="n"/>
      <c r="D67" s="39" t="n">
        <v>30</v>
      </c>
      <c r="E67" s="39" t="n">
        <v>30</v>
      </c>
      <c r="F67" s="39" t="n">
        <v>30</v>
      </c>
      <c r="G67" s="39" t="n">
        <v>30</v>
      </c>
      <c r="H67" s="39" t="n">
        <v>30</v>
      </c>
      <c r="I67" s="39" t="n">
        <v>30</v>
      </c>
      <c r="J67" s="39" t="n">
        <v>30</v>
      </c>
      <c r="K67" s="39" t="n">
        <v>30</v>
      </c>
      <c r="L67" s="39" t="n">
        <v>30</v>
      </c>
      <c r="M67" s="39" t="n">
        <v>30</v>
      </c>
      <c r="N67" s="122" t="n"/>
      <c r="O67" s="2" t="inlineStr">
        <is>
          <t>Origem: 22.1!D20 = 30 dias de custo total. Aqui sobre custo CAIXA: depreciação não exige caixa.</t>
        </is>
      </c>
    </row>
    <row r="68">
      <c r="A68" s="17" t="inlineStr">
        <is>
          <t>Dias no ano (base financeira)</t>
        </is>
      </c>
      <c r="B68" s="2" t="inlineStr">
        <is>
          <t>dias</t>
        </is>
      </c>
      <c r="C68" s="39" t="n"/>
      <c r="D68" s="39" t="n">
        <v>360</v>
      </c>
      <c r="E68" s="39" t="n">
        <v>360</v>
      </c>
      <c r="F68" s="39" t="n">
        <v>360</v>
      </c>
      <c r="G68" s="39" t="n">
        <v>360</v>
      </c>
      <c r="H68" s="39" t="n">
        <v>360</v>
      </c>
      <c r="I68" s="39" t="n">
        <v>360</v>
      </c>
      <c r="J68" s="39" t="n">
        <v>360</v>
      </c>
      <c r="K68" s="39" t="n">
        <v>360</v>
      </c>
      <c r="L68" s="39" t="n">
        <v>360</v>
      </c>
      <c r="M68" s="39" t="n">
        <v>360</v>
      </c>
      <c r="N68" s="122" t="n"/>
      <c r="O68" s="122" t="n"/>
    </row>
    <row r="69">
      <c r="A69" s="122" t="n"/>
      <c r="B69" s="122" t="n"/>
      <c r="C69" s="122" t="n"/>
      <c r="D69" s="122" t="n"/>
      <c r="E69" s="122" t="n"/>
      <c r="F69" s="122" t="n"/>
      <c r="G69" s="122" t="n"/>
      <c r="H69" s="122" t="n"/>
      <c r="I69" s="122" t="n"/>
      <c r="J69" s="122" t="n"/>
      <c r="K69" s="122" t="n"/>
      <c r="L69" s="122" t="n"/>
      <c r="M69" s="122" t="n"/>
      <c r="N69" s="122" t="n"/>
      <c r="O69" s="122" t="n"/>
    </row>
    <row r="70">
      <c r="A70" s="15" t="inlineStr">
        <is>
          <t>H. CUSTO DE CAPITAL</t>
        </is>
      </c>
      <c r="B70" s="126" t="n"/>
      <c r="C70" s="126" t="n"/>
      <c r="D70" s="126" t="n"/>
      <c r="E70" s="126" t="n"/>
      <c r="F70" s="126" t="n"/>
      <c r="G70" s="126" t="n"/>
      <c r="H70" s="126" t="n"/>
      <c r="I70" s="126" t="n"/>
      <c r="J70" s="126" t="n"/>
      <c r="K70" s="126" t="n"/>
      <c r="L70" s="126" t="n"/>
      <c r="M70" s="126" t="n"/>
      <c r="N70" s="122" t="n"/>
      <c r="O70" s="122" t="n"/>
    </row>
    <row r="71">
      <c r="A71" s="17" t="inlineStr">
        <is>
          <t>Taxa livre de risco (Rf)</t>
        </is>
      </c>
      <c r="B71" s="122" t="n"/>
      <c r="C71" s="28" t="n">
        <v>0.1225</v>
      </c>
      <c r="D71" s="122" t="n"/>
      <c r="E71" s="122" t="n"/>
      <c r="F71" s="122" t="n"/>
      <c r="G71" s="122" t="n"/>
      <c r="H71" s="122" t="n"/>
      <c r="I71" s="122" t="n"/>
      <c r="J71" s="122" t="n"/>
      <c r="K71" s="122" t="n"/>
      <c r="L71" s="122" t="n"/>
      <c r="M71" s="122" t="n"/>
      <c r="N71" s="122" t="n"/>
      <c r="O71" s="2" t="inlineStr">
        <is>
          <t>Origem: 22.2 Fluxo de Caixa!J24 = 12,25%, declarada como "Selic vigente em outubro de 2020". (confirmar) — a taxa e a data não se conciliam: 12,25% corresponde à Selic do fim de 2023, não de out/2020. Atualizar com a Selic/NTN-B da data do caso.</t>
        </is>
      </c>
    </row>
    <row r="72">
      <c r="A72" s="17" t="inlineStr">
        <is>
          <t>Prêmio de risco de mercado (ERP Brasil)</t>
        </is>
      </c>
      <c r="B72" s="122" t="n"/>
      <c r="C72" s="28" t="n">
        <v>0.07000000000000001</v>
      </c>
      <c r="D72" s="122" t="n"/>
      <c r="E72" s="122" t="n"/>
      <c r="F72" s="122" t="n"/>
      <c r="G72" s="122" t="n"/>
      <c r="H72" s="122" t="n"/>
      <c r="I72" s="122" t="n"/>
      <c r="J72" s="122" t="n"/>
      <c r="K72" s="122" t="n"/>
      <c r="L72" s="122" t="n"/>
      <c r="M72" s="122" t="n"/>
      <c r="N72" s="122" t="n"/>
      <c r="O72" s="2" t="inlineStr">
        <is>
          <t>(confirmar) — PLACEHOLDER. Fonte sugerida: Damodaran, Country Risk Premiums, tabela do Brasil.</t>
        </is>
      </c>
    </row>
    <row r="73">
      <c r="A73" s="17" t="inlineStr">
        <is>
          <t>Beta desalavancado do setor</t>
        </is>
      </c>
      <c r="B73" s="122" t="n"/>
      <c r="C73" s="40" t="n">
        <v>0.85</v>
      </c>
      <c r="D73" s="122" t="n"/>
      <c r="E73" s="122" t="n"/>
      <c r="F73" s="122" t="n"/>
      <c r="G73" s="122" t="n"/>
      <c r="H73" s="122" t="n"/>
      <c r="I73" s="122" t="n"/>
      <c r="J73" s="122" t="n"/>
      <c r="K73" s="122" t="n"/>
      <c r="L73" s="122" t="n"/>
      <c r="M73" s="122" t="n"/>
      <c r="N73" s="122" t="n"/>
      <c r="O73" s="2" t="inlineStr">
        <is>
          <t>(confirmar) — PLACEHOLDER. Fonte sugerida: Damodaran, Betas by Sector — Food Processing.</t>
        </is>
      </c>
    </row>
    <row r="74">
      <c r="A74" s="17" t="inlineStr">
        <is>
          <t>D/E alvo</t>
        </is>
      </c>
      <c r="B74" s="122" t="n"/>
      <c r="C74" s="40" t="n">
        <v>0</v>
      </c>
      <c r="D74" s="122" t="n"/>
      <c r="E74" s="122" t="n"/>
      <c r="F74" s="122" t="n"/>
      <c r="G74" s="122" t="n"/>
      <c r="H74" s="122" t="n"/>
      <c r="I74" s="122" t="n"/>
      <c r="J74" s="122" t="n"/>
      <c r="K74" s="122" t="n"/>
      <c r="L74" s="122" t="n"/>
      <c r="M74" s="122" t="n"/>
      <c r="N74" s="122" t="n"/>
      <c r="O74" s="2" t="inlineStr">
        <is>
          <t>(confirmar) — o modelo da origem é 100% equity: não há dívida em aba nenhuma. Com 0, WACC = Ke. Mudar aqui muda o WACC e o VPL.</t>
        </is>
      </c>
    </row>
    <row r="75">
      <c r="A75" s="17" t="inlineStr">
        <is>
          <t>Custo da dívida (Kd) antes do IR</t>
        </is>
      </c>
      <c r="B75" s="122" t="n"/>
      <c r="C75" s="28" t="n">
        <v>0.14</v>
      </c>
      <c r="D75" s="122" t="n"/>
      <c r="E75" s="122" t="n"/>
      <c r="F75" s="122" t="n"/>
      <c r="G75" s="122" t="n"/>
      <c r="H75" s="122" t="n"/>
      <c r="I75" s="122" t="n"/>
      <c r="J75" s="122" t="n"/>
      <c r="K75" s="122" t="n"/>
      <c r="L75" s="122" t="n"/>
      <c r="M75" s="122" t="n"/>
      <c r="N75" s="122" t="n"/>
      <c r="O75" s="2" t="inlineStr">
        <is>
          <t>(confirmar) — PLACEHOLDER. Só entra se D/E &gt; 0.</t>
        </is>
      </c>
    </row>
    <row r="76">
      <c r="A76" s="17" t="inlineStr">
        <is>
          <t>Alíquota marginal (IRPJ+adicional+CSLL)</t>
        </is>
      </c>
      <c r="B76" s="122" t="n"/>
      <c r="C76" s="27" t="n">
        <v>0.34</v>
      </c>
      <c r="D76" s="122" t="n"/>
      <c r="E76" s="122" t="n"/>
      <c r="F76" s="122" t="n"/>
      <c r="G76" s="122" t="n"/>
      <c r="H76" s="122" t="n"/>
      <c r="I76" s="122" t="n"/>
      <c r="J76" s="122" t="n"/>
      <c r="K76" s="122" t="n"/>
      <c r="L76" s="122" t="n"/>
      <c r="M76" s="122" t="n"/>
      <c r="N76" s="122" t="n"/>
      <c r="O76" s="2" t="inlineStr">
        <is>
          <t>15% + 10% + 9% = 34%.</t>
        </is>
      </c>
    </row>
    <row r="77">
      <c r="A77" s="17" t="inlineStr">
        <is>
          <t>Beta realavancado</t>
        </is>
      </c>
      <c r="B77" s="122" t="n"/>
      <c r="C77" s="41">
        <f>C73*(1+(1-C76)*C74)</f>
        <v/>
      </c>
      <c r="D77" s="122" t="n"/>
      <c r="E77" s="122" t="n"/>
      <c r="F77" s="122" t="n"/>
      <c r="G77" s="122" t="n"/>
      <c r="H77" s="122" t="n"/>
      <c r="I77" s="122" t="n"/>
      <c r="J77" s="122" t="n"/>
      <c r="K77" s="122" t="n"/>
      <c r="L77" s="122" t="n"/>
      <c r="M77" s="122" t="n"/>
      <c r="N77" s="122" t="n"/>
      <c r="O77" s="2" t="inlineStr">
        <is>
          <t>Cálculo: Bu x (1 + (1-t) x D/E).</t>
        </is>
      </c>
    </row>
    <row r="78">
      <c r="A78" s="17" t="inlineStr">
        <is>
          <t>Custo do capital próprio (Ke)</t>
        </is>
      </c>
      <c r="B78" s="122" t="n"/>
      <c r="C78" s="42">
        <f>C71+C77*C72</f>
        <v/>
      </c>
      <c r="D78" s="122" t="n"/>
      <c r="E78" s="122" t="n"/>
      <c r="F78" s="122" t="n"/>
      <c r="G78" s="122" t="n"/>
      <c r="H78" s="122" t="n"/>
      <c r="I78" s="122" t="n"/>
      <c r="J78" s="122" t="n"/>
      <c r="K78" s="122" t="n"/>
      <c r="L78" s="122" t="n"/>
      <c r="M78" s="122" t="n"/>
      <c r="N78" s="122" t="n"/>
      <c r="O78" s="2" t="inlineStr">
        <is>
          <t>Cálculo: Rf + Beta realavancado x ERP.</t>
        </is>
      </c>
    </row>
    <row r="79">
      <c r="A79" s="17" t="inlineStr">
        <is>
          <t>Peso do equity (E/V)</t>
        </is>
      </c>
      <c r="B79" s="122" t="n"/>
      <c r="C79" s="42">
        <f>1/(1+C74)</f>
        <v/>
      </c>
      <c r="D79" s="122" t="n"/>
      <c r="E79" s="122" t="n"/>
      <c r="F79" s="122" t="n"/>
      <c r="G79" s="122" t="n"/>
      <c r="H79" s="122" t="n"/>
      <c r="I79" s="122" t="n"/>
      <c r="J79" s="122" t="n"/>
      <c r="K79" s="122" t="n"/>
      <c r="L79" s="122" t="n"/>
      <c r="M79" s="122" t="n"/>
      <c r="N79" s="122" t="n"/>
      <c r="O79" s="2" t="inlineStr">
        <is>
          <t>Cálculo: 1 / (1 + D/E).</t>
        </is>
      </c>
    </row>
    <row r="80">
      <c r="A80" s="17" t="inlineStr">
        <is>
          <t>Peso da dívida (D/V)</t>
        </is>
      </c>
      <c r="B80" s="122" t="n"/>
      <c r="C80" s="42">
        <f>1-C79</f>
        <v/>
      </c>
      <c r="D80" s="122" t="n"/>
      <c r="E80" s="122" t="n"/>
      <c r="F80" s="122" t="n"/>
      <c r="G80" s="122" t="n"/>
      <c r="H80" s="122" t="n"/>
      <c r="I80" s="122" t="n"/>
      <c r="J80" s="122" t="n"/>
      <c r="K80" s="122" t="n"/>
      <c r="L80" s="122" t="n"/>
      <c r="M80" s="122" t="n"/>
      <c r="N80" s="122" t="n"/>
      <c r="O80" s="2" t="inlineStr">
        <is>
          <t>Cálculo: 1 - E/V.</t>
        </is>
      </c>
    </row>
    <row r="81">
      <c r="A81" s="21" t="inlineStr">
        <is>
          <t>WACC</t>
        </is>
      </c>
      <c r="B81" s="122" t="n"/>
      <c r="C81" s="43">
        <f>C78*C79+C75*(1-C76)*C80</f>
        <v/>
      </c>
      <c r="D81" s="122" t="n"/>
      <c r="E81" s="122" t="n"/>
      <c r="F81" s="122" t="n"/>
      <c r="G81" s="122" t="n"/>
      <c r="H81" s="122" t="n"/>
      <c r="I81" s="122" t="n"/>
      <c r="J81" s="122" t="n"/>
      <c r="K81" s="122" t="n"/>
      <c r="L81" s="122" t="n"/>
      <c r="M81" s="122" t="n"/>
      <c r="N81" s="122" t="n"/>
      <c r="O81" s="2" t="inlineStr">
        <is>
          <t>Cálculo: Ke x E/V + Kd x (1-t) x D/V. Substitui a Selic pura como taxa de desconto.</t>
        </is>
      </c>
    </row>
    <row r="82">
      <c r="A82" s="17" t="inlineStr">
        <is>
          <t>Taxa da origem (Selic) — para comparação</t>
        </is>
      </c>
      <c r="B82" s="122" t="n"/>
      <c r="C82" s="27" t="n">
        <v>0.1225</v>
      </c>
      <c r="D82" s="122" t="n"/>
      <c r="E82" s="122" t="n"/>
      <c r="F82" s="122" t="n"/>
      <c r="G82" s="122" t="n"/>
      <c r="H82" s="122" t="n"/>
      <c r="I82" s="122" t="n"/>
      <c r="J82" s="122" t="n"/>
      <c r="K82" s="122" t="n"/>
      <c r="L82" s="122" t="n"/>
      <c r="M82" s="122" t="n"/>
      <c r="N82" s="122" t="n"/>
      <c r="O82" s="2" t="inlineStr">
        <is>
          <t>Mantida para a ponte de VPL Selic -&gt; WACC na aba 6. Valuation.</t>
        </is>
      </c>
    </row>
    <row r="83">
      <c r="A83" s="17" t="inlineStr">
        <is>
          <t>Crescimento na perpetuidade (g)</t>
        </is>
      </c>
      <c r="B83" s="122" t="n"/>
      <c r="C83" s="28" t="n">
        <v>0</v>
      </c>
      <c r="D83" s="122" t="n"/>
      <c r="E83" s="122" t="n"/>
      <c r="F83" s="122" t="n"/>
      <c r="G83" s="122" t="n"/>
      <c r="H83" s="122" t="n"/>
      <c r="I83" s="122" t="n"/>
      <c r="J83" s="122" t="n"/>
      <c r="K83" s="122" t="n"/>
      <c r="L83" s="122" t="n"/>
      <c r="M83" s="122" t="n"/>
      <c r="N83" s="122" t="n"/>
      <c r="O83" s="2" t="inlineStr">
        <is>
          <t>(confirmar) — com 0, o valor terminal é uma perpetuidade sem crescimento. A origem não tinha valor terminal nenhum.</t>
        </is>
      </c>
    </row>
    <row r="84">
      <c r="A84" s="17" t="inlineStr">
        <is>
          <t>Considerar valor terminal? (1=sim, 0=não)</t>
        </is>
      </c>
      <c r="B84" s="122" t="n"/>
      <c r="C84" s="44" t="n">
        <v>0</v>
      </c>
      <c r="D84" s="122" t="n"/>
      <c r="E84" s="122" t="n"/>
      <c r="F84" s="122" t="n"/>
      <c r="G84" s="122" t="n"/>
      <c r="H84" s="122" t="n"/>
      <c r="I84" s="122" t="n"/>
      <c r="J84" s="122" t="n"/>
      <c r="K84" s="122" t="n"/>
      <c r="L84" s="122" t="n"/>
      <c r="M84" s="122" t="n"/>
      <c r="N84" s="122" t="n"/>
      <c r="O84" s="2" t="inlineStr">
        <is>
          <t>Base = 0, para comparar com a origem em igualdade. Ligar para ver o VPL de uma planta que continua operando.</t>
        </is>
      </c>
    </row>
    <row r="85">
      <c r="A85" s="122" t="n"/>
      <c r="B85" s="122" t="n"/>
      <c r="C85" s="122" t="n"/>
      <c r="D85" s="122" t="n"/>
      <c r="E85" s="122" t="n"/>
      <c r="F85" s="122" t="n"/>
      <c r="G85" s="122" t="n"/>
      <c r="H85" s="122" t="n"/>
      <c r="I85" s="122" t="n"/>
      <c r="J85" s="122" t="n"/>
      <c r="K85" s="122" t="n"/>
      <c r="L85" s="122" t="n"/>
      <c r="M85" s="122" t="n"/>
      <c r="N85" s="122" t="n"/>
      <c r="O85" s="122" t="n"/>
    </row>
    <row r="86">
      <c r="A86" s="15" t="inlineStr">
        <is>
          <t>I. ALAVANCAS DE CENÁRIO</t>
        </is>
      </c>
      <c r="B86" s="126" t="n"/>
      <c r="C86" s="126" t="n"/>
      <c r="D86" s="126" t="n"/>
      <c r="E86" s="126" t="n"/>
      <c r="F86" s="126" t="n"/>
      <c r="G86" s="126" t="n"/>
      <c r="H86" s="126" t="n"/>
      <c r="I86" s="126" t="n"/>
      <c r="J86" s="126" t="n"/>
      <c r="K86" s="126" t="n"/>
      <c r="L86" s="126" t="n"/>
      <c r="M86" s="126" t="n"/>
      <c r="N86" s="122" t="n"/>
      <c r="O86" s="122" t="n"/>
    </row>
    <row r="87">
      <c r="A87" s="10" t="inlineStr">
        <is>
          <t>Alavanca</t>
        </is>
      </c>
      <c r="B87" s="122" t="n"/>
      <c r="C87" s="11" t="inlineStr">
        <is>
          <t>Pessimista</t>
        </is>
      </c>
      <c r="D87" s="11" t="inlineStr">
        <is>
          <t>Base</t>
        </is>
      </c>
      <c r="E87" s="11" t="inlineStr">
        <is>
          <t>Otimista</t>
        </is>
      </c>
      <c r="F87" s="10" t="inlineStr">
        <is>
          <t>Ativo</t>
        </is>
      </c>
      <c r="G87" s="122" t="n"/>
      <c r="H87" s="122" t="n"/>
      <c r="I87" s="122" t="n"/>
      <c r="J87" s="122" t="n"/>
      <c r="K87" s="122" t="n"/>
      <c r="L87" s="122" t="n"/>
      <c r="M87" s="122" t="n"/>
      <c r="N87" s="122" t="n"/>
      <c r="O87" s="122" t="n"/>
    </row>
    <row r="88">
      <c r="A88" s="17" t="inlineStr">
        <is>
          <t>Δ volume</t>
        </is>
      </c>
      <c r="B88" s="122" t="n"/>
      <c r="C88" s="29" t="n">
        <v>-0.15</v>
      </c>
      <c r="D88" s="29" t="n">
        <v>0</v>
      </c>
      <c r="E88" s="29" t="n">
        <v>0.1</v>
      </c>
      <c r="F88" s="24">
        <f>INDEX($C88:$E88,1,$C$5)</f>
        <v/>
      </c>
      <c r="G88" s="122" t="n"/>
      <c r="H88" s="122" t="n"/>
      <c r="I88" s="122" t="n"/>
      <c r="J88" s="122" t="n"/>
      <c r="K88" s="122" t="n"/>
      <c r="L88" s="122" t="n"/>
      <c r="M88" s="122" t="n"/>
      <c r="N88" s="122" t="n"/>
      <c r="O88" s="2" t="inlineStr">
        <is>
          <t>(confirmar) — amplitude de julgamento. O caso não traz estudo de demanda.</t>
        </is>
      </c>
    </row>
    <row r="89">
      <c r="A89" s="17" t="inlineStr">
        <is>
          <t>Δ margem-alvo (p.p.)</t>
        </is>
      </c>
      <c r="B89" s="122" t="n"/>
      <c r="C89" s="29" t="n">
        <v>-0.05</v>
      </c>
      <c r="D89" s="29" t="n">
        <v>0</v>
      </c>
      <c r="E89" s="29" t="n">
        <v>0.03</v>
      </c>
      <c r="F89" s="24">
        <f>INDEX($C89:$E89,1,$C$5)</f>
        <v/>
      </c>
      <c r="G89" s="122" t="n"/>
      <c r="H89" s="122" t="n"/>
      <c r="I89" s="122" t="n"/>
      <c r="J89" s="122" t="n"/>
      <c r="K89" s="122" t="n"/>
      <c r="L89" s="122" t="n"/>
      <c r="M89" s="122" t="n"/>
      <c r="N89" s="122" t="n"/>
      <c r="O89" s="2" t="inlineStr">
        <is>
          <t>(confirmar) — testa a hipótese de margem crescente da origem.</t>
        </is>
      </c>
    </row>
    <row r="90">
      <c r="A90" s="17" t="inlineStr">
        <is>
          <t>Δ custo variável unitário</t>
        </is>
      </c>
      <c r="B90" s="122" t="n"/>
      <c r="C90" s="29" t="n">
        <v>0.08</v>
      </c>
      <c r="D90" s="29" t="n">
        <v>0</v>
      </c>
      <c r="E90" s="29" t="n">
        <v>-0.04</v>
      </c>
      <c r="F90" s="24">
        <f>INDEX($C90:$E90,1,$C$5)</f>
        <v/>
      </c>
      <c r="G90" s="122" t="n"/>
      <c r="H90" s="122" t="n"/>
      <c r="I90" s="122" t="n"/>
      <c r="J90" s="122" t="n"/>
      <c r="K90" s="122" t="n"/>
      <c r="L90" s="122" t="n"/>
      <c r="M90" s="122" t="n"/>
      <c r="N90" s="122" t="n"/>
      <c r="O90" s="2" t="inlineStr">
        <is>
          <t>(confirmar) — leite é ~52% do custo variável; a amplitude deveria vir da série do CEPEA.</t>
        </is>
      </c>
    </row>
    <row r="91">
      <c r="A91" s="17" t="inlineStr">
        <is>
          <t>Contingência (% do CAPEX/ano)</t>
        </is>
      </c>
      <c r="B91" s="122" t="n"/>
      <c r="C91" s="29" t="n">
        <v>0.12</v>
      </c>
      <c r="D91" s="29" t="n">
        <v>0.1</v>
      </c>
      <c r="E91" s="29" t="n">
        <v>0.06</v>
      </c>
      <c r="F91" s="24">
        <f>INDEX($C91:$E91,1,$C$5)</f>
        <v/>
      </c>
      <c r="G91" s="122" t="n"/>
      <c r="H91" s="122" t="n"/>
      <c r="I91" s="122" t="n"/>
      <c r="J91" s="122" t="n"/>
      <c r="K91" s="122" t="n"/>
      <c r="L91" s="122" t="n"/>
      <c r="M91" s="122" t="n"/>
      <c r="N91" s="122" t="n"/>
      <c r="O91" s="2" t="inlineStr">
        <is>
          <t>Base = 10%, a premissa da origem.</t>
        </is>
      </c>
    </row>
    <row r="92">
      <c r="A92" s="17" t="inlineStr">
        <is>
          <t>Participação do Sudeste</t>
        </is>
      </c>
      <c r="B92" s="122" t="n"/>
      <c r="C92" s="29" t="n">
        <v>0.7</v>
      </c>
      <c r="D92" s="29" t="n">
        <v>0.8</v>
      </c>
      <c r="E92" s="29" t="n">
        <v>0.85</v>
      </c>
      <c r="F92" s="24">
        <f>INDEX($C92:$E92,1,$C$5)</f>
        <v/>
      </c>
      <c r="G92" s="122" t="n"/>
      <c r="H92" s="122" t="n"/>
      <c r="I92" s="122" t="n"/>
      <c r="J92" s="122" t="n"/>
      <c r="K92" s="122" t="n"/>
      <c r="L92" s="122" t="n"/>
      <c r="M92" s="122" t="n"/>
      <c r="N92" s="122" t="n"/>
      <c r="O92" s="2" t="inlineStr">
        <is>
          <t>Mix: o Sudeste tem o menor frete unitário. Sair dele encarece.</t>
        </is>
      </c>
    </row>
    <row r="93">
      <c r="A93" s="17" t="inlineStr">
        <is>
          <t>Nome do cenário</t>
        </is>
      </c>
      <c r="B93" s="122" t="n"/>
      <c r="C93" s="45" t="inlineStr">
        <is>
          <t>Pessimista</t>
        </is>
      </c>
      <c r="D93" s="45" t="inlineStr">
        <is>
          <t>Base</t>
        </is>
      </c>
      <c r="E93" s="45" t="inlineStr">
        <is>
          <t>Otimista</t>
        </is>
      </c>
      <c r="F93" s="122" t="n"/>
      <c r="G93" s="122" t="n"/>
      <c r="H93" s="122" t="n"/>
      <c r="I93" s="122" t="n"/>
      <c r="J93" s="122" t="n"/>
      <c r="K93" s="122" t="n"/>
      <c r="L93" s="122" t="n"/>
      <c r="M93" s="122" t="n"/>
      <c r="N93" s="122" t="n"/>
      <c r="O93" s="122" t="n"/>
    </row>
    <row r="95">
      <c r="A95" s="15" t="inlineStr">
        <is>
          <t>J. MIX REGIONAL DA ORIGEM (base da redistribuição do bloco B)</t>
        </is>
      </c>
      <c r="B95" s="126" t="n"/>
      <c r="C95" s="126" t="n"/>
      <c r="D95" s="126" t="n"/>
      <c r="E95" s="126" t="n"/>
      <c r="O95" s="126" t="n"/>
    </row>
    <row r="96">
      <c r="A96" s="17" t="inlineStr">
        <is>
          <t>Participação original — Sul</t>
        </is>
      </c>
      <c r="B96" s="122" t="inlineStr">
        <is>
          <t>%</t>
        </is>
      </c>
      <c r="C96" s="29" t="n">
        <v>0.05</v>
      </c>
      <c r="O96" s="2" t="inlineStr">
        <is>
          <t>Origem: 20. Custos Unitários!C96. Base fixa da redistribuição proporcional da linha 19.</t>
        </is>
      </c>
    </row>
    <row r="97">
      <c r="A97" s="17" t="inlineStr">
        <is>
          <t>Participação original — Nordeste</t>
        </is>
      </c>
      <c r="B97" s="122" t="inlineStr">
        <is>
          <t>%</t>
        </is>
      </c>
      <c r="C97" s="29" t="n">
        <v>0.03</v>
      </c>
      <c r="O97" s="2" t="inlineStr">
        <is>
          <t>Origem: 20. Custos Unitários!E96. Base da linha 20.</t>
        </is>
      </c>
    </row>
    <row r="98">
      <c r="A98" s="17" t="inlineStr">
        <is>
          <t>Participação original — Norte</t>
        </is>
      </c>
      <c r="B98" s="122" t="inlineStr">
        <is>
          <t>%</t>
        </is>
      </c>
      <c r="C98" s="29" t="n">
        <v>0.02</v>
      </c>
      <c r="O98" s="2" t="inlineStr">
        <is>
          <t>Origem: 20. Custos Unitários!F96. Base da linha 21.</t>
        </is>
      </c>
    </row>
    <row r="99">
      <c r="A99" s="17" t="inlineStr">
        <is>
          <t>Participação original — Centro-Oeste</t>
        </is>
      </c>
      <c r="B99" s="122" t="inlineStr">
        <is>
          <t>%</t>
        </is>
      </c>
      <c r="C99" s="29" t="n">
        <v>0.1</v>
      </c>
      <c r="O99" s="2" t="inlineStr">
        <is>
          <t>Origem: 20. Custos Unitários!G96. Base da linha 22.</t>
        </is>
      </c>
    </row>
    <row r="100">
      <c r="A100" s="21" t="inlineStr">
        <is>
          <t>Soma das regiões fora do Sudeste</t>
        </is>
      </c>
      <c r="B100" s="122" t="inlineStr">
        <is>
          <t>%</t>
        </is>
      </c>
      <c r="C100" s="24">
        <f>SUM(C96:C99)</f>
        <v/>
      </c>
      <c r="O100" s="2" t="inlineStr">
        <is>
          <t>Denominador da redistribuição. Se o Sudeste sai de 80%, o que sobra é rateado nesta proporção.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O47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5" max="15"/>
  </cols>
  <sheetData>
    <row r="1">
      <c r="A1" s="1" t="inlineStr">
        <is>
          <t>DEPRECIAÇÃO — DIAGNÓSTICO E CORREÇÃO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</row>
    <row r="2">
      <c r="A2" s="2" t="inlineStr">
        <is>
          <t>O autor anotou "Depreciacao esta errada" em 22.2 Fluxo de Caixa!C5. São quatro defeitos distintos. Esta aba mostra o antes e o depois.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2" t="n"/>
      <c r="O3" s="122" t="n"/>
    </row>
    <row r="4">
      <c r="A4" s="122" t="n"/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</row>
    <row r="5">
      <c r="A5" s="122" t="n"/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</row>
    <row r="6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2" t="n"/>
      <c r="O6" s="122" t="n"/>
    </row>
    <row r="7">
      <c r="A7" s="10" t="inlineStr">
        <is>
          <t>Ano</t>
        </is>
      </c>
      <c r="B7" s="122" t="n"/>
      <c r="C7" s="11" t="n">
        <v>0</v>
      </c>
      <c r="D7" s="11" t="n">
        <v>1</v>
      </c>
      <c r="E7" s="11" t="n">
        <v>2</v>
      </c>
      <c r="F7" s="11" t="n">
        <v>3</v>
      </c>
      <c r="G7" s="11" t="n">
        <v>4</v>
      </c>
      <c r="H7" s="11" t="n">
        <v>5</v>
      </c>
      <c r="I7" s="11" t="n">
        <v>6</v>
      </c>
      <c r="J7" s="11" t="n">
        <v>7</v>
      </c>
      <c r="K7" s="11" t="n">
        <v>8</v>
      </c>
      <c r="L7" s="11" t="n">
        <v>9</v>
      </c>
      <c r="M7" s="11" t="n">
        <v>10</v>
      </c>
      <c r="N7" s="122" t="n"/>
      <c r="O7" s="3" t="inlineStr">
        <is>
          <t>Fonte / observação</t>
        </is>
      </c>
    </row>
    <row r="8">
      <c r="A8" s="12" t="inlineStr">
        <is>
          <t>Exercício</t>
        </is>
      </c>
      <c r="B8" s="125" t="n"/>
      <c r="C8" s="14" t="inlineStr">
        <is>
          <t>2023</t>
        </is>
      </c>
      <c r="D8" s="14" t="inlineStr">
        <is>
          <t>2024</t>
        </is>
      </c>
      <c r="E8" s="14" t="inlineStr">
        <is>
          <t>2025</t>
        </is>
      </c>
      <c r="F8" s="14" t="inlineStr">
        <is>
          <t>2026</t>
        </is>
      </c>
      <c r="G8" s="14" t="inlineStr">
        <is>
          <t>2027</t>
        </is>
      </c>
      <c r="H8" s="14" t="inlineStr">
        <is>
          <t>2028</t>
        </is>
      </c>
      <c r="I8" s="14" t="inlineStr">
        <is>
          <t>2029</t>
        </is>
      </c>
      <c r="J8" s="14" t="inlineStr">
        <is>
          <t>2030</t>
        </is>
      </c>
      <c r="K8" s="14" t="inlineStr">
        <is>
          <t>2031</t>
        </is>
      </c>
      <c r="L8" s="14" t="inlineStr">
        <is>
          <t>2032</t>
        </is>
      </c>
      <c r="M8" s="14" t="inlineStr">
        <is>
          <t>2033</t>
        </is>
      </c>
      <c r="N8" s="122" t="n"/>
      <c r="O8" s="122" t="n"/>
    </row>
    <row r="9">
      <c r="A9" s="122" t="n"/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</row>
    <row r="10">
      <c r="A10" s="15" t="inlineStr">
        <is>
          <t>A. REGISTRO DE ATIVOS (base corrigida)</t>
        </is>
      </c>
      <c r="B10" s="126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2" t="n"/>
      <c r="O10" s="122" t="n"/>
    </row>
    <row r="11">
      <c r="A11" s="46" t="inlineStr">
        <is>
          <t>Ativo</t>
        </is>
      </c>
      <c r="B11" s="46" t="inlineStr">
        <is>
          <t>Classe</t>
        </is>
      </c>
      <c r="C11" s="46" t="inlineStr">
        <is>
          <t>Ano de entrada</t>
        </is>
      </c>
      <c r="D11" s="46" t="inlineStr">
        <is>
          <t>Valor (R$)</t>
        </is>
      </c>
      <c r="E11" s="46" t="inlineStr">
        <is>
          <t>Vida útil (anos)</t>
        </is>
      </c>
      <c r="F11" s="46" t="inlineStr">
        <is>
          <t>Taxa anual</t>
        </is>
      </c>
      <c r="G11" s="46" t="inlineStr">
        <is>
          <t>Depreciação anual (R$)</t>
        </is>
      </c>
      <c r="H11" s="122" t="n"/>
      <c r="I11" s="122" t="n"/>
      <c r="J11" s="122" t="n"/>
      <c r="K11" s="122" t="n"/>
      <c r="L11" s="122" t="n"/>
      <c r="M11" s="122" t="n"/>
      <c r="N11" s="122" t="n"/>
      <c r="O11" s="122" t="n"/>
    </row>
    <row r="12">
      <c r="A12" s="17" t="inlineStr">
        <is>
          <t>Construção civil</t>
        </is>
      </c>
      <c r="B12" s="17" t="inlineStr">
        <is>
          <t>Edificações</t>
        </is>
      </c>
      <c r="C12" s="47" t="n">
        <v>0</v>
      </c>
      <c r="D12" s="32" t="n">
        <v>12472315.128</v>
      </c>
      <c r="E12" s="47" t="n">
        <v>25</v>
      </c>
      <c r="F12" s="20">
        <f>1/E12</f>
        <v/>
      </c>
      <c r="G12" s="48">
        <f>D12/E12</f>
        <v/>
      </c>
      <c r="H12" s="122" t="n"/>
      <c r="I12" s="122" t="n"/>
      <c r="J12" s="122" t="n"/>
      <c r="K12" s="122" t="n"/>
      <c r="L12" s="122" t="n"/>
      <c r="M12" s="122" t="n"/>
      <c r="N12" s="122" t="n"/>
      <c r="O12" s="2" t="inlineStr">
        <is>
          <t>Origem: 'Demanda...'!AM5 = CUB x 4.803 m2 x 1,20.</t>
        </is>
      </c>
    </row>
    <row r="13">
      <c r="A13" s="17" t="inlineStr">
        <is>
          <t>Equipamentos e instalações — ano 0</t>
        </is>
      </c>
      <c r="B13" s="17" t="inlineStr">
        <is>
          <t>Equipamentos</t>
        </is>
      </c>
      <c r="C13" s="47" t="n">
        <v>0</v>
      </c>
      <c r="D13" s="32" t="n">
        <v>3562305.55</v>
      </c>
      <c r="E13" s="47" t="n">
        <v>10</v>
      </c>
      <c r="F13" s="20">
        <f>1/E13</f>
        <v/>
      </c>
      <c r="G13" s="48">
        <f>D13/E13</f>
        <v/>
      </c>
      <c r="H13" s="122" t="n"/>
      <c r="I13" s="122" t="n"/>
      <c r="J13" s="122" t="n"/>
      <c r="K13" s="122" t="n"/>
      <c r="L13" s="122" t="n"/>
      <c r="M13" s="122" t="n"/>
      <c r="N13" s="122" t="n"/>
      <c r="O13" s="2" t="inlineStr">
        <is>
          <t>Equip. de processo + auxiliares + itens de laboratório e pias, TODOS com o acréscimo de 15%. A origem pegou os itens de laboratório antes do acréscimo e esqueceu bancada e armário (D1).</t>
        </is>
      </c>
    </row>
    <row r="14">
      <c r="A14" s="17" t="inlineStr">
        <is>
          <t>Informática e móveis — ano 0</t>
        </is>
      </c>
      <c r="B14" s="17" t="inlineStr">
        <is>
          <t>Informática/móveis</t>
        </is>
      </c>
      <c r="C14" s="47" t="n">
        <v>0</v>
      </c>
      <c r="D14" s="32" t="n">
        <v>167205.515</v>
      </c>
      <c r="E14" s="47" t="n">
        <v>5</v>
      </c>
      <c r="F14" s="20">
        <f>1/E14</f>
        <v/>
      </c>
      <c r="G14" s="48">
        <f>D14/E14</f>
        <v/>
      </c>
      <c r="H14" s="122" t="n"/>
      <c r="I14" s="122" t="n"/>
      <c r="J14" s="122" t="n"/>
      <c r="K14" s="122" t="n"/>
      <c r="L14" s="122" t="n"/>
      <c r="M14" s="122" t="n"/>
      <c r="N14" s="122" t="n"/>
      <c r="O14" s="2" t="inlineStr">
        <is>
          <t>Equip. administrativos + impressora de laboratório + armários de vestiário, com o acréscimo de 15%.</t>
        </is>
      </c>
    </row>
    <row r="15">
      <c r="A15" s="17" t="inlineStr">
        <is>
          <t>Reator encamisado (2027)</t>
        </is>
      </c>
      <c r="B15" s="17" t="inlineStr">
        <is>
          <t>Equipamentos</t>
        </is>
      </c>
      <c r="C15" s="47" t="n">
        <v>4</v>
      </c>
      <c r="D15" s="32" t="n">
        <v>161000</v>
      </c>
      <c r="E15" s="47" t="n">
        <v>10</v>
      </c>
      <c r="F15" s="20">
        <f>1/E15</f>
        <v/>
      </c>
      <c r="G15" s="48">
        <f>D15/E15</f>
        <v/>
      </c>
      <c r="H15" s="122" t="n"/>
      <c r="I15" s="122" t="n"/>
      <c r="J15" s="122" t="n"/>
      <c r="K15" s="122" t="n"/>
      <c r="L15" s="122" t="n"/>
      <c r="M15" s="122" t="n"/>
      <c r="N15" s="122" t="n"/>
      <c r="O15" s="2" t="inlineStr">
        <is>
          <t>Origem: 'Demanda...'!AE10. Reinvestimento que nunca entrou na base (D3).</t>
        </is>
      </c>
    </row>
    <row r="16">
      <c r="A16" s="17" t="inlineStr">
        <is>
          <t>Refratômetro e phmetro (2028)</t>
        </is>
      </c>
      <c r="B16" s="17" t="inlineStr">
        <is>
          <t>Equipamentos</t>
        </is>
      </c>
      <c r="C16" s="47" t="n">
        <v>5</v>
      </c>
      <c r="D16" s="32" t="n">
        <v>2388.55</v>
      </c>
      <c r="E16" s="47" t="n">
        <v>10</v>
      </c>
      <c r="F16" s="20">
        <f>1/E16</f>
        <v/>
      </c>
      <c r="G16" s="48">
        <f>D16/E16</f>
        <v/>
      </c>
      <c r="H16" s="122" t="n"/>
      <c r="I16" s="122" t="n"/>
      <c r="J16" s="122" t="n"/>
      <c r="K16" s="122" t="n"/>
      <c r="L16" s="122" t="n"/>
      <c r="M16" s="122" t="n"/>
      <c r="N16" s="122" t="n"/>
      <c r="O16" s="2" t="inlineStr">
        <is>
          <t>Renovação de laboratório.</t>
        </is>
      </c>
    </row>
    <row r="17">
      <c r="A17" s="17" t="inlineStr">
        <is>
          <t>Renovação de informática e móveis (2028)</t>
        </is>
      </c>
      <c r="B17" s="17" t="inlineStr">
        <is>
          <t>Informática/móveis</t>
        </is>
      </c>
      <c r="C17" s="47" t="n">
        <v>5</v>
      </c>
      <c r="D17" s="32" t="n">
        <v>140730.1</v>
      </c>
      <c r="E17" s="47" t="n">
        <v>5</v>
      </c>
      <c r="F17" s="20">
        <f>1/E17</f>
        <v/>
      </c>
      <c r="G17" s="48">
        <f>D17/E17</f>
        <v/>
      </c>
      <c r="H17" s="122" t="n"/>
      <c r="I17" s="122" t="n"/>
      <c r="J17" s="122" t="n"/>
      <c r="K17" s="122" t="n"/>
      <c r="L17" s="122" t="n"/>
      <c r="M17" s="122" t="n"/>
      <c r="N17" s="122" t="n"/>
      <c r="O17" s="2" t="inlineStr">
        <is>
          <t>25 notebooks, 30 cadeiras, 5 impressoras. É a renovação de 5 anos dos ativos de vida curta — e confirma que os R$ 5,7 mi da origem eram erro de fórmula (A-01).</t>
        </is>
      </c>
    </row>
    <row r="18">
      <c r="A18" s="17" t="inlineStr">
        <is>
          <t>Reator e empilhadeira (2030)</t>
        </is>
      </c>
      <c r="B18" s="17" t="inlineStr">
        <is>
          <t>Equipamentos</t>
        </is>
      </c>
      <c r="C18" s="47" t="n">
        <v>7</v>
      </c>
      <c r="D18" s="32" t="n">
        <v>289800</v>
      </c>
      <c r="E18" s="47" t="n">
        <v>10</v>
      </c>
      <c r="F18" s="20">
        <f>1/E18</f>
        <v/>
      </c>
      <c r="G18" s="48">
        <f>D18/E18</f>
        <v/>
      </c>
      <c r="H18" s="122" t="n"/>
      <c r="I18" s="122" t="n"/>
      <c r="J18" s="122" t="n"/>
      <c r="K18" s="122" t="n"/>
      <c r="L18" s="122" t="n"/>
      <c r="M18" s="122" t="n"/>
      <c r="N18" s="122" t="n"/>
      <c r="O18" s="2" t="inlineStr">
        <is>
          <t>Origem: 'Demanda...'!AH10+AH17. A origem somava a empilhadeira duas vezes (A-01).</t>
        </is>
      </c>
    </row>
    <row r="19">
      <c r="A19" s="21" t="inlineStr">
        <is>
          <t>Subtotal depreciável</t>
        </is>
      </c>
      <c r="B19" s="122" t="n"/>
      <c r="C19" s="122" t="n"/>
      <c r="D19" s="49">
        <f>SUM(D12:D18)</f>
        <v/>
      </c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</row>
    <row r="20">
      <c r="A20" s="17" t="inlineStr">
        <is>
          <t>Terreno (não depreciável)</t>
        </is>
      </c>
      <c r="B20" s="122" t="n"/>
      <c r="C20" s="122" t="n"/>
      <c r="D20" s="32" t="n">
        <v>908611.9</v>
      </c>
      <c r="E20" s="122" t="n"/>
      <c r="F20" s="122" t="n"/>
      <c r="G20" s="122" t="n"/>
      <c r="H20" s="122" t="n"/>
      <c r="I20" s="122" t="n"/>
      <c r="J20" s="122" t="n"/>
      <c r="K20" s="122" t="n"/>
      <c r="L20" s="122" t="n"/>
      <c r="M20" s="122" t="n"/>
      <c r="N20" s="122" t="n"/>
      <c r="O20" s="2" t="inlineStr">
        <is>
          <t>Origem: 'Demanda...'!AM6. Terreno não deprecia — a origem acertou aqui.</t>
        </is>
      </c>
    </row>
    <row r="21">
      <c r="A21" s="21" t="inlineStr">
        <is>
          <t>TOTAL ATIVO IMOBILIZADO</t>
        </is>
      </c>
      <c r="B21" s="122" t="n"/>
      <c r="C21" s="122" t="n"/>
      <c r="D21" s="50">
        <f>D19+D20</f>
        <v/>
      </c>
      <c r="E21" s="122" t="n"/>
      <c r="F21" s="122" t="n"/>
      <c r="G21" s="122" t="n"/>
      <c r="H21" s="122" t="n"/>
      <c r="I21" s="122" t="n"/>
      <c r="J21" s="122" t="n"/>
      <c r="K21" s="122" t="n"/>
      <c r="L21" s="122" t="n"/>
      <c r="M21" s="122" t="n"/>
      <c r="N21" s="122" t="n"/>
      <c r="O21" s="122" t="n"/>
    </row>
    <row r="22">
      <c r="A22" s="122" t="n"/>
      <c r="B22" s="122" t="n"/>
      <c r="C22" s="122" t="n"/>
      <c r="D22" s="122" t="n"/>
      <c r="E22" s="122" t="n"/>
      <c r="F22" s="122" t="n"/>
      <c r="G22" s="122" t="n"/>
      <c r="H22" s="122" t="n"/>
      <c r="I22" s="122" t="n"/>
      <c r="J22" s="122" t="n"/>
      <c r="K22" s="122" t="n"/>
      <c r="L22" s="122" t="n"/>
      <c r="M22" s="122" t="n"/>
      <c r="N22" s="122" t="n"/>
      <c r="O22" s="122" t="n"/>
    </row>
    <row r="23">
      <c r="A23" s="15" t="inlineStr">
        <is>
          <t>B. CRONOGRAMA DE DEPRECIAÇÃO (linear, início no ano seguinte à entrada)</t>
        </is>
      </c>
      <c r="B23" s="126" t="n"/>
      <c r="C23" s="126" t="n"/>
      <c r="D23" s="126" t="n"/>
      <c r="E23" s="126" t="n"/>
      <c r="F23" s="126" t="n"/>
      <c r="G23" s="126" t="n"/>
      <c r="H23" s="126" t="n"/>
      <c r="I23" s="126" t="n"/>
      <c r="J23" s="126" t="n"/>
      <c r="K23" s="126" t="n"/>
      <c r="L23" s="126" t="n"/>
      <c r="M23" s="126" t="n"/>
      <c r="N23" s="122" t="n"/>
      <c r="O23" s="122" t="n"/>
    </row>
    <row r="24">
      <c r="A24" s="17" t="inlineStr">
        <is>
          <t>Construção civil</t>
        </is>
      </c>
      <c r="B24" s="122" t="n"/>
      <c r="C24" s="38">
        <f>IF(AND(0&gt;$C$12,0&lt;=$C$12+$E$12),$D$12/$E$12,0)</f>
        <v/>
      </c>
      <c r="D24" s="38">
        <f>IF(AND(1&gt;$C$12,1&lt;=$C$12+$E$12),$D$12/$E$12,0)</f>
        <v/>
      </c>
      <c r="E24" s="38">
        <f>IF(AND(2&gt;$C$12,2&lt;=$C$12+$E$12),$D$12/$E$12,0)</f>
        <v/>
      </c>
      <c r="F24" s="38">
        <f>IF(AND(3&gt;$C$12,3&lt;=$C$12+$E$12),$D$12/$E$12,0)</f>
        <v/>
      </c>
      <c r="G24" s="38">
        <f>IF(AND(4&gt;$C$12,4&lt;=$C$12+$E$12),$D$12/$E$12,0)</f>
        <v/>
      </c>
      <c r="H24" s="38">
        <f>IF(AND(5&gt;$C$12,5&lt;=$C$12+$E$12),$D$12/$E$12,0)</f>
        <v/>
      </c>
      <c r="I24" s="38">
        <f>IF(AND(6&gt;$C$12,6&lt;=$C$12+$E$12),$D$12/$E$12,0)</f>
        <v/>
      </c>
      <c r="J24" s="38">
        <f>IF(AND(7&gt;$C$12,7&lt;=$C$12+$E$12),$D$12/$E$12,0)</f>
        <v/>
      </c>
      <c r="K24" s="38">
        <f>IF(AND(8&gt;$C$12,8&lt;=$C$12+$E$12),$D$12/$E$12,0)</f>
        <v/>
      </c>
      <c r="L24" s="38">
        <f>IF(AND(9&gt;$C$12,9&lt;=$C$12+$E$12),$D$12/$E$12,0)</f>
        <v/>
      </c>
      <c r="M24" s="38">
        <f>IF(AND(10&gt;$C$12,10&lt;=$C$12+$E$12),$D$12/$E$12,0)</f>
        <v/>
      </c>
      <c r="N24" s="122" t="n"/>
      <c r="O24" s="122" t="n"/>
    </row>
    <row r="25">
      <c r="A25" s="17" t="inlineStr">
        <is>
          <t>Equipamentos e instalações — ano 0</t>
        </is>
      </c>
      <c r="B25" s="122" t="n"/>
      <c r="C25" s="38">
        <f>IF(AND(0&gt;$C$13,0&lt;=$C$13+$E$13),$D$13/$E$13,0)</f>
        <v/>
      </c>
      <c r="D25" s="38">
        <f>IF(AND(1&gt;$C$13,1&lt;=$C$13+$E$13),$D$13/$E$13,0)</f>
        <v/>
      </c>
      <c r="E25" s="38">
        <f>IF(AND(2&gt;$C$13,2&lt;=$C$13+$E$13),$D$13/$E$13,0)</f>
        <v/>
      </c>
      <c r="F25" s="38">
        <f>IF(AND(3&gt;$C$13,3&lt;=$C$13+$E$13),$D$13/$E$13,0)</f>
        <v/>
      </c>
      <c r="G25" s="38">
        <f>IF(AND(4&gt;$C$13,4&lt;=$C$13+$E$13),$D$13/$E$13,0)</f>
        <v/>
      </c>
      <c r="H25" s="38">
        <f>IF(AND(5&gt;$C$13,5&lt;=$C$13+$E$13),$D$13/$E$13,0)</f>
        <v/>
      </c>
      <c r="I25" s="38">
        <f>IF(AND(6&gt;$C$13,6&lt;=$C$13+$E$13),$D$13/$E$13,0)</f>
        <v/>
      </c>
      <c r="J25" s="38">
        <f>IF(AND(7&gt;$C$13,7&lt;=$C$13+$E$13),$D$13/$E$13,0)</f>
        <v/>
      </c>
      <c r="K25" s="38">
        <f>IF(AND(8&gt;$C$13,8&lt;=$C$13+$E$13),$D$13/$E$13,0)</f>
        <v/>
      </c>
      <c r="L25" s="38">
        <f>IF(AND(9&gt;$C$13,9&lt;=$C$13+$E$13),$D$13/$E$13,0)</f>
        <v/>
      </c>
      <c r="M25" s="38">
        <f>IF(AND(10&gt;$C$13,10&lt;=$C$13+$E$13),$D$13/$E$13,0)</f>
        <v/>
      </c>
      <c r="N25" s="122" t="n"/>
      <c r="O25" s="122" t="n"/>
    </row>
    <row r="26">
      <c r="A26" s="17" t="inlineStr">
        <is>
          <t>Informática e móveis — ano 0</t>
        </is>
      </c>
      <c r="B26" s="122" t="n"/>
      <c r="C26" s="38">
        <f>IF(AND(0&gt;$C$14,0&lt;=$C$14+$E$14),$D$14/$E$14,0)</f>
        <v/>
      </c>
      <c r="D26" s="38">
        <f>IF(AND(1&gt;$C$14,1&lt;=$C$14+$E$14),$D$14/$E$14,0)</f>
        <v/>
      </c>
      <c r="E26" s="38">
        <f>IF(AND(2&gt;$C$14,2&lt;=$C$14+$E$14),$D$14/$E$14,0)</f>
        <v/>
      </c>
      <c r="F26" s="38">
        <f>IF(AND(3&gt;$C$14,3&lt;=$C$14+$E$14),$D$14/$E$14,0)</f>
        <v/>
      </c>
      <c r="G26" s="38">
        <f>IF(AND(4&gt;$C$14,4&lt;=$C$14+$E$14),$D$14/$E$14,0)</f>
        <v/>
      </c>
      <c r="H26" s="38">
        <f>IF(AND(5&gt;$C$14,5&lt;=$C$14+$E$14),$D$14/$E$14,0)</f>
        <v/>
      </c>
      <c r="I26" s="38">
        <f>IF(AND(6&gt;$C$14,6&lt;=$C$14+$E$14),$D$14/$E$14,0)</f>
        <v/>
      </c>
      <c r="J26" s="38">
        <f>IF(AND(7&gt;$C$14,7&lt;=$C$14+$E$14),$D$14/$E$14,0)</f>
        <v/>
      </c>
      <c r="K26" s="38">
        <f>IF(AND(8&gt;$C$14,8&lt;=$C$14+$E$14),$D$14/$E$14,0)</f>
        <v/>
      </c>
      <c r="L26" s="38">
        <f>IF(AND(9&gt;$C$14,9&lt;=$C$14+$E$14),$D$14/$E$14,0)</f>
        <v/>
      </c>
      <c r="M26" s="38">
        <f>IF(AND(10&gt;$C$14,10&lt;=$C$14+$E$14),$D$14/$E$14,0)</f>
        <v/>
      </c>
      <c r="N26" s="122" t="n"/>
      <c r="O26" s="122" t="n"/>
    </row>
    <row r="27">
      <c r="A27" s="17" t="inlineStr">
        <is>
          <t>Reator encamisado (2027)</t>
        </is>
      </c>
      <c r="B27" s="122" t="n"/>
      <c r="C27" s="38">
        <f>IF(AND(0&gt;$C$15,0&lt;=$C$15+$E$15),$D$15/$E$15,0)</f>
        <v/>
      </c>
      <c r="D27" s="38">
        <f>IF(AND(1&gt;$C$15,1&lt;=$C$15+$E$15),$D$15/$E$15,0)</f>
        <v/>
      </c>
      <c r="E27" s="38">
        <f>IF(AND(2&gt;$C$15,2&lt;=$C$15+$E$15),$D$15/$E$15,0)</f>
        <v/>
      </c>
      <c r="F27" s="38">
        <f>IF(AND(3&gt;$C$15,3&lt;=$C$15+$E$15),$D$15/$E$15,0)</f>
        <v/>
      </c>
      <c r="G27" s="38">
        <f>IF(AND(4&gt;$C$15,4&lt;=$C$15+$E$15),$D$15/$E$15,0)</f>
        <v/>
      </c>
      <c r="H27" s="38">
        <f>IF(AND(5&gt;$C$15,5&lt;=$C$15+$E$15),$D$15/$E$15,0)</f>
        <v/>
      </c>
      <c r="I27" s="38">
        <f>IF(AND(6&gt;$C$15,6&lt;=$C$15+$E$15),$D$15/$E$15,0)</f>
        <v/>
      </c>
      <c r="J27" s="38">
        <f>IF(AND(7&gt;$C$15,7&lt;=$C$15+$E$15),$D$15/$E$15,0)</f>
        <v/>
      </c>
      <c r="K27" s="38">
        <f>IF(AND(8&gt;$C$15,8&lt;=$C$15+$E$15),$D$15/$E$15,0)</f>
        <v/>
      </c>
      <c r="L27" s="38">
        <f>IF(AND(9&gt;$C$15,9&lt;=$C$15+$E$15),$D$15/$E$15,0)</f>
        <v/>
      </c>
      <c r="M27" s="38">
        <f>IF(AND(10&gt;$C$15,10&lt;=$C$15+$E$15),$D$15/$E$15,0)</f>
        <v/>
      </c>
      <c r="N27" s="122" t="n"/>
      <c r="O27" s="122" t="n"/>
    </row>
    <row r="28">
      <c r="A28" s="17" t="inlineStr">
        <is>
          <t>Refratômetro e phmetro (2028)</t>
        </is>
      </c>
      <c r="B28" s="122" t="n"/>
      <c r="C28" s="38">
        <f>IF(AND(0&gt;$C$16,0&lt;=$C$16+$E$16),$D$16/$E$16,0)</f>
        <v/>
      </c>
      <c r="D28" s="38">
        <f>IF(AND(1&gt;$C$16,1&lt;=$C$16+$E$16),$D$16/$E$16,0)</f>
        <v/>
      </c>
      <c r="E28" s="38">
        <f>IF(AND(2&gt;$C$16,2&lt;=$C$16+$E$16),$D$16/$E$16,0)</f>
        <v/>
      </c>
      <c r="F28" s="38">
        <f>IF(AND(3&gt;$C$16,3&lt;=$C$16+$E$16),$D$16/$E$16,0)</f>
        <v/>
      </c>
      <c r="G28" s="38">
        <f>IF(AND(4&gt;$C$16,4&lt;=$C$16+$E$16),$D$16/$E$16,0)</f>
        <v/>
      </c>
      <c r="H28" s="38">
        <f>IF(AND(5&gt;$C$16,5&lt;=$C$16+$E$16),$D$16/$E$16,0)</f>
        <v/>
      </c>
      <c r="I28" s="38">
        <f>IF(AND(6&gt;$C$16,6&lt;=$C$16+$E$16),$D$16/$E$16,0)</f>
        <v/>
      </c>
      <c r="J28" s="38">
        <f>IF(AND(7&gt;$C$16,7&lt;=$C$16+$E$16),$D$16/$E$16,0)</f>
        <v/>
      </c>
      <c r="K28" s="38">
        <f>IF(AND(8&gt;$C$16,8&lt;=$C$16+$E$16),$D$16/$E$16,0)</f>
        <v/>
      </c>
      <c r="L28" s="38">
        <f>IF(AND(9&gt;$C$16,9&lt;=$C$16+$E$16),$D$16/$E$16,0)</f>
        <v/>
      </c>
      <c r="M28" s="38">
        <f>IF(AND(10&gt;$C$16,10&lt;=$C$16+$E$16),$D$16/$E$16,0)</f>
        <v/>
      </c>
      <c r="N28" s="122" t="n"/>
      <c r="O28" s="122" t="n"/>
    </row>
    <row r="29">
      <c r="A29" s="17" t="inlineStr">
        <is>
          <t>Renovação de informática e móveis (2028)</t>
        </is>
      </c>
      <c r="B29" s="122" t="n"/>
      <c r="C29" s="38">
        <f>IF(AND(0&gt;$C$17,0&lt;=$C$17+$E$17),$D$17/$E$17,0)</f>
        <v/>
      </c>
      <c r="D29" s="38">
        <f>IF(AND(1&gt;$C$17,1&lt;=$C$17+$E$17),$D$17/$E$17,0)</f>
        <v/>
      </c>
      <c r="E29" s="38">
        <f>IF(AND(2&gt;$C$17,2&lt;=$C$17+$E$17),$D$17/$E$17,0)</f>
        <v/>
      </c>
      <c r="F29" s="38">
        <f>IF(AND(3&gt;$C$17,3&lt;=$C$17+$E$17),$D$17/$E$17,0)</f>
        <v/>
      </c>
      <c r="G29" s="38">
        <f>IF(AND(4&gt;$C$17,4&lt;=$C$17+$E$17),$D$17/$E$17,0)</f>
        <v/>
      </c>
      <c r="H29" s="38">
        <f>IF(AND(5&gt;$C$17,5&lt;=$C$17+$E$17),$D$17/$E$17,0)</f>
        <v/>
      </c>
      <c r="I29" s="38">
        <f>IF(AND(6&gt;$C$17,6&lt;=$C$17+$E$17),$D$17/$E$17,0)</f>
        <v/>
      </c>
      <c r="J29" s="38">
        <f>IF(AND(7&gt;$C$17,7&lt;=$C$17+$E$17),$D$17/$E$17,0)</f>
        <v/>
      </c>
      <c r="K29" s="38">
        <f>IF(AND(8&gt;$C$17,8&lt;=$C$17+$E$17),$D$17/$E$17,0)</f>
        <v/>
      </c>
      <c r="L29" s="38">
        <f>IF(AND(9&gt;$C$17,9&lt;=$C$17+$E$17),$D$17/$E$17,0)</f>
        <v/>
      </c>
      <c r="M29" s="38">
        <f>IF(AND(10&gt;$C$17,10&lt;=$C$17+$E$17),$D$17/$E$17,0)</f>
        <v/>
      </c>
      <c r="N29" s="122" t="n"/>
      <c r="O29" s="122" t="n"/>
    </row>
    <row r="30">
      <c r="A30" s="17" t="inlineStr">
        <is>
          <t>Reator e empilhadeira (2030)</t>
        </is>
      </c>
      <c r="B30" s="122" t="n"/>
      <c r="C30" s="38">
        <f>IF(AND(0&gt;$C$18,0&lt;=$C$18+$E$18),$D$18/$E$18,0)</f>
        <v/>
      </c>
      <c r="D30" s="38">
        <f>IF(AND(1&gt;$C$18,1&lt;=$C$18+$E$18),$D$18/$E$18,0)</f>
        <v/>
      </c>
      <c r="E30" s="38">
        <f>IF(AND(2&gt;$C$18,2&lt;=$C$18+$E$18),$D$18/$E$18,0)</f>
        <v/>
      </c>
      <c r="F30" s="38">
        <f>IF(AND(3&gt;$C$18,3&lt;=$C$18+$E$18),$D$18/$E$18,0)</f>
        <v/>
      </c>
      <c r="G30" s="38">
        <f>IF(AND(4&gt;$C$18,4&lt;=$C$18+$E$18),$D$18/$E$18,0)</f>
        <v/>
      </c>
      <c r="H30" s="38">
        <f>IF(AND(5&gt;$C$18,5&lt;=$C$18+$E$18),$D$18/$E$18,0)</f>
        <v/>
      </c>
      <c r="I30" s="38">
        <f>IF(AND(6&gt;$C$18,6&lt;=$C$18+$E$18),$D$18/$E$18,0)</f>
        <v/>
      </c>
      <c r="J30" s="38">
        <f>IF(AND(7&gt;$C$18,7&lt;=$C$18+$E$18),$D$18/$E$18,0)</f>
        <v/>
      </c>
      <c r="K30" s="38">
        <f>IF(AND(8&gt;$C$18,8&lt;=$C$18+$E$18),$D$18/$E$18,0)</f>
        <v/>
      </c>
      <c r="L30" s="38">
        <f>IF(AND(9&gt;$C$18,9&lt;=$C$18+$E$18),$D$18/$E$18,0)</f>
        <v/>
      </c>
      <c r="M30" s="38">
        <f>IF(AND(10&gt;$C$18,10&lt;=$C$18+$E$18),$D$18/$E$18,0)</f>
        <v/>
      </c>
      <c r="N30" s="122" t="n"/>
      <c r="O30" s="122" t="n"/>
    </row>
    <row r="31">
      <c r="A31" s="21" t="inlineStr">
        <is>
          <t>DEPRECIAÇÃO CORRIGIDA</t>
        </is>
      </c>
      <c r="B31" s="2" t="inlineStr">
        <is>
          <t>R$/ano</t>
        </is>
      </c>
      <c r="C31" s="51">
        <f>SUM(C24:C30)</f>
        <v/>
      </c>
      <c r="D31" s="51">
        <f>SUM(D24:D30)</f>
        <v/>
      </c>
      <c r="E31" s="51">
        <f>SUM(E24:E30)</f>
        <v/>
      </c>
      <c r="F31" s="51">
        <f>SUM(F24:F30)</f>
        <v/>
      </c>
      <c r="G31" s="51">
        <f>SUM(G24:G30)</f>
        <v/>
      </c>
      <c r="H31" s="51">
        <f>SUM(H24:H30)</f>
        <v/>
      </c>
      <c r="I31" s="51">
        <f>SUM(I24:I30)</f>
        <v/>
      </c>
      <c r="J31" s="51">
        <f>SUM(J24:J30)</f>
        <v/>
      </c>
      <c r="K31" s="51">
        <f>SUM(K24:K30)</f>
        <v/>
      </c>
      <c r="L31" s="51">
        <f>SUM(L24:L30)</f>
        <v/>
      </c>
      <c r="M31" s="51">
        <f>SUM(M24:M30)</f>
        <v/>
      </c>
      <c r="N31" s="122" t="n"/>
      <c r="O31" s="122" t="n"/>
    </row>
    <row r="32">
      <c r="A32" s="17" t="inlineStr">
        <is>
          <t>Depreciação acumulada</t>
        </is>
      </c>
      <c r="B32" s="2" t="inlineStr">
        <is>
          <t>R$</t>
        </is>
      </c>
      <c r="C32" s="38">
        <f>C31</f>
        <v/>
      </c>
      <c r="D32" s="38">
        <f>C32+D31</f>
        <v/>
      </c>
      <c r="E32" s="38">
        <f>D32+E31</f>
        <v/>
      </c>
      <c r="F32" s="38">
        <f>E32+F31</f>
        <v/>
      </c>
      <c r="G32" s="38">
        <f>F32+G31</f>
        <v/>
      </c>
      <c r="H32" s="38">
        <f>G32+H31</f>
        <v/>
      </c>
      <c r="I32" s="38">
        <f>H32+I31</f>
        <v/>
      </c>
      <c r="J32" s="38">
        <f>I32+J31</f>
        <v/>
      </c>
      <c r="K32" s="38">
        <f>J32+K31</f>
        <v/>
      </c>
      <c r="L32" s="38">
        <f>K32+L31</f>
        <v/>
      </c>
      <c r="M32" s="38">
        <f>L32+M31</f>
        <v/>
      </c>
      <c r="N32" s="122" t="n"/>
      <c r="O32" s="122" t="n"/>
    </row>
    <row r="33">
      <c r="A33" s="17" t="inlineStr">
        <is>
          <t>Valor contábil líquido do imobilizado</t>
        </is>
      </c>
      <c r="B33" s="2" t="inlineStr">
        <is>
          <t>R$</t>
        </is>
      </c>
      <c r="C33" s="38">
        <f>$D$21-C32</f>
        <v/>
      </c>
      <c r="D33" s="38">
        <f>$D$21-D32</f>
        <v/>
      </c>
      <c r="E33" s="38">
        <f>$D$21-E32</f>
        <v/>
      </c>
      <c r="F33" s="38">
        <f>$D$21-F32</f>
        <v/>
      </c>
      <c r="G33" s="38">
        <f>$D$21-G32</f>
        <v/>
      </c>
      <c r="H33" s="38">
        <f>$D$21-H32</f>
        <v/>
      </c>
      <c r="I33" s="38">
        <f>$D$21-I32</f>
        <v/>
      </c>
      <c r="J33" s="38">
        <f>$D$21-J32</f>
        <v/>
      </c>
      <c r="K33" s="38">
        <f>$D$21-K32</f>
        <v/>
      </c>
      <c r="L33" s="38">
        <f>$D$21-L32</f>
        <v/>
      </c>
      <c r="M33" s="38">
        <f>$D$21-M32</f>
        <v/>
      </c>
      <c r="N33" s="122" t="n"/>
      <c r="O33" s="2" t="inlineStr">
        <is>
          <t>Cálculo: ativo total − depreciação acumulada. Usado no valor residual do fluxo de caixa.</t>
        </is>
      </c>
    </row>
    <row r="34">
      <c r="A34" s="122" t="n"/>
      <c r="B34" s="122" t="n"/>
      <c r="C34" s="122" t="n"/>
      <c r="D34" s="122" t="n"/>
      <c r="E34" s="122" t="n"/>
      <c r="F34" s="122" t="n"/>
      <c r="G34" s="122" t="n"/>
      <c r="H34" s="122" t="n"/>
      <c r="I34" s="122" t="n"/>
      <c r="J34" s="122" t="n"/>
      <c r="K34" s="122" t="n"/>
      <c r="L34" s="122" t="n"/>
      <c r="M34" s="122" t="n"/>
      <c r="N34" s="122" t="n"/>
      <c r="O34" s="122" t="n"/>
    </row>
    <row r="35">
      <c r="A35" s="15" t="inlineStr">
        <is>
          <t>C. ANTES E DEPOIS — o que o erro custava</t>
        </is>
      </c>
      <c r="B35" s="126" t="n"/>
      <c r="C35" s="126" t="n"/>
      <c r="D35" s="126" t="n"/>
      <c r="E35" s="126" t="n"/>
      <c r="F35" s="126" t="n"/>
      <c r="G35" s="126" t="n"/>
      <c r="H35" s="126" t="n"/>
      <c r="I35" s="126" t="n"/>
      <c r="J35" s="126" t="n"/>
      <c r="K35" s="126" t="n"/>
      <c r="L35" s="126" t="n"/>
      <c r="M35" s="126" t="n"/>
      <c r="N35" s="122" t="n"/>
      <c r="O35" s="122" t="n"/>
    </row>
    <row r="36">
      <c r="A36" s="17" t="inlineStr">
        <is>
          <t>Depreciação da origem</t>
        </is>
      </c>
      <c r="B36" s="2" t="inlineStr">
        <is>
          <t>R$/ano</t>
        </is>
      </c>
      <c r="C36" s="19" t="n">
        <v>0</v>
      </c>
      <c r="D36" s="19" t="n">
        <v>885858.58</v>
      </c>
      <c r="E36" s="19" t="n">
        <v>885858.58</v>
      </c>
      <c r="F36" s="19" t="n">
        <v>885858.58</v>
      </c>
      <c r="G36" s="19" t="n">
        <v>885858.58</v>
      </c>
      <c r="H36" s="19" t="n">
        <v>885858.58</v>
      </c>
      <c r="I36" s="19" t="n">
        <v>885858.58</v>
      </c>
      <c r="J36" s="19" t="n">
        <v>885858.58</v>
      </c>
      <c r="K36" s="19" t="n">
        <v>885858.58</v>
      </c>
      <c r="L36" s="19" t="n">
        <v>885858.58</v>
      </c>
      <c r="M36" s="19" t="n">
        <v>885858.58</v>
      </c>
      <c r="N36" s="122" t="n"/>
      <c r="O36" s="2" t="inlineStr">
        <is>
          <t>Origem: 20. Custos Unitários!D136, constante nos 10 anos. Zero no ano 0.</t>
        </is>
      </c>
    </row>
    <row r="37">
      <c r="A37" s="17" t="inlineStr">
        <is>
          <t>Depreciação corrigida</t>
        </is>
      </c>
      <c r="B37" s="2" t="inlineStr">
        <is>
          <t>R$/ano</t>
        </is>
      </c>
      <c r="C37" s="18">
        <f>C31</f>
        <v/>
      </c>
      <c r="D37" s="18">
        <f>D31</f>
        <v/>
      </c>
      <c r="E37" s="18">
        <f>E31</f>
        <v/>
      </c>
      <c r="F37" s="18">
        <f>F31</f>
        <v/>
      </c>
      <c r="G37" s="18">
        <f>G31</f>
        <v/>
      </c>
      <c r="H37" s="18">
        <f>H31</f>
        <v/>
      </c>
      <c r="I37" s="18">
        <f>I31</f>
        <v/>
      </c>
      <c r="J37" s="18">
        <f>J31</f>
        <v/>
      </c>
      <c r="K37" s="18">
        <f>K31</f>
        <v/>
      </c>
      <c r="L37" s="18">
        <f>L31</f>
        <v/>
      </c>
      <c r="M37" s="18">
        <f>M31</f>
        <v/>
      </c>
      <c r="N37" s="122" t="n"/>
      <c r="O37" s="122" t="n"/>
    </row>
    <row r="38">
      <c r="A38" s="21" t="inlineStr">
        <is>
          <t>Diferença (corrigida − origem)</t>
        </is>
      </c>
      <c r="B38" s="2" t="inlineStr">
        <is>
          <t>R$/ano</t>
        </is>
      </c>
      <c r="C38" s="22">
        <f>C37-C36</f>
        <v/>
      </c>
      <c r="D38" s="22">
        <f>D37-D36</f>
        <v/>
      </c>
      <c r="E38" s="22">
        <f>E37-E36</f>
        <v/>
      </c>
      <c r="F38" s="22">
        <f>F37-F36</f>
        <v/>
      </c>
      <c r="G38" s="22">
        <f>G37-G36</f>
        <v/>
      </c>
      <c r="H38" s="22">
        <f>H37-H36</f>
        <v/>
      </c>
      <c r="I38" s="22">
        <f>I37-I36</f>
        <v/>
      </c>
      <c r="J38" s="22">
        <f>J37-J36</f>
        <v/>
      </c>
      <c r="K38" s="22">
        <f>K37-K36</f>
        <v/>
      </c>
      <c r="L38" s="22">
        <f>L37-L36</f>
        <v/>
      </c>
      <c r="M38" s="22">
        <f>M37-M36</f>
        <v/>
      </c>
      <c r="N38" s="122" t="n"/>
      <c r="O38" s="122" t="n"/>
    </row>
    <row r="39">
      <c r="A39" s="17" t="inlineStr">
        <is>
          <t>Efeito no imposto</t>
        </is>
      </c>
      <c r="B39" s="2" t="inlineStr">
        <is>
          <t>R$/ano</t>
        </is>
      </c>
      <c r="C39" s="38">
        <f>-C38*'2. Inputs'!$C$76</f>
        <v/>
      </c>
      <c r="D39" s="38">
        <f>-D38*'2. Inputs'!$C$76</f>
        <v/>
      </c>
      <c r="E39" s="38">
        <f>-E38*'2. Inputs'!$C$76</f>
        <v/>
      </c>
      <c r="F39" s="38">
        <f>-F38*'2. Inputs'!$C$76</f>
        <v/>
      </c>
      <c r="G39" s="38">
        <f>-G38*'2. Inputs'!$C$76</f>
        <v/>
      </c>
      <c r="H39" s="38">
        <f>-H38*'2. Inputs'!$C$76</f>
        <v/>
      </c>
      <c r="I39" s="38">
        <f>-I38*'2. Inputs'!$C$76</f>
        <v/>
      </c>
      <c r="J39" s="38">
        <f>-J38*'2. Inputs'!$C$76</f>
        <v/>
      </c>
      <c r="K39" s="38">
        <f>-K38*'2. Inputs'!$C$76</f>
        <v/>
      </c>
      <c r="L39" s="38">
        <f>-L38*'2. Inputs'!$C$76</f>
        <v/>
      </c>
      <c r="M39" s="38">
        <f>-M38*'2. Inputs'!$C$76</f>
        <v/>
      </c>
      <c r="N39" s="122" t="n"/>
      <c r="O39" s="2" t="inlineStr">
        <is>
          <t>Mais depreciação = menos lucro tributável = menos imposto. Alíquota em 2. Inputs!C76. Sinal negativo = imposto a menos.</t>
        </is>
      </c>
    </row>
    <row r="40">
      <c r="A40" s="17" t="inlineStr">
        <is>
          <t>Efeito líquido no caixa</t>
        </is>
      </c>
      <c r="B40" s="2" t="inlineStr">
        <is>
          <t>R$/ano</t>
        </is>
      </c>
      <c r="C40" s="38">
        <f>C38*'2. Inputs'!$C$76</f>
        <v/>
      </c>
      <c r="D40" s="38">
        <f>D38*'2. Inputs'!$C$76</f>
        <v/>
      </c>
      <c r="E40" s="38">
        <f>E38*'2. Inputs'!$C$76</f>
        <v/>
      </c>
      <c r="F40" s="38">
        <f>F38*'2. Inputs'!$C$76</f>
        <v/>
      </c>
      <c r="G40" s="38">
        <f>G38*'2. Inputs'!$C$76</f>
        <v/>
      </c>
      <c r="H40" s="38">
        <f>H38*'2. Inputs'!$C$76</f>
        <v/>
      </c>
      <c r="I40" s="38">
        <f>I38*'2. Inputs'!$C$76</f>
        <v/>
      </c>
      <c r="J40" s="38">
        <f>J38*'2. Inputs'!$C$76</f>
        <v/>
      </c>
      <c r="K40" s="38">
        <f>K38*'2. Inputs'!$C$76</f>
        <v/>
      </c>
      <c r="L40" s="38">
        <f>L38*'2. Inputs'!$C$76</f>
        <v/>
      </c>
      <c r="M40" s="38">
        <f>M38*'2. Inputs'!$C$76</f>
        <v/>
      </c>
      <c r="N40" s="122" t="n"/>
      <c r="O40" s="2" t="inlineStr">
        <is>
          <t>A depreciação sai do lucro e volta no fluxo: o efeito de caixa é só o escudo fiscal. Sinal positivo = caixa a mais.</t>
        </is>
      </c>
    </row>
    <row r="41">
      <c r="A41" s="122" t="n"/>
      <c r="B41" s="122" t="n"/>
      <c r="C41" s="122" t="n"/>
      <c r="D41" s="122" t="n"/>
      <c r="E41" s="122" t="n"/>
      <c r="F41" s="122" t="n"/>
      <c r="G41" s="122" t="n"/>
      <c r="H41" s="122" t="n"/>
      <c r="I41" s="122" t="n"/>
      <c r="J41" s="122" t="n"/>
      <c r="K41" s="122" t="n"/>
      <c r="L41" s="122" t="n"/>
      <c r="M41" s="122" t="n"/>
      <c r="N41" s="122" t="n"/>
      <c r="O41" s="122" t="n"/>
    </row>
    <row r="42">
      <c r="A42" s="15" t="inlineStr">
        <is>
          <t>D. OS QUATRO DEFEITOS DA ORIGEM</t>
        </is>
      </c>
      <c r="B42" s="126" t="n"/>
      <c r="C42" s="126" t="n"/>
      <c r="D42" s="126" t="n"/>
      <c r="E42" s="126" t="n"/>
      <c r="F42" s="126" t="n"/>
      <c r="G42" s="126" t="n"/>
      <c r="H42" s="126" t="n"/>
      <c r="I42" s="126" t="n"/>
      <c r="J42" s="126" t="n"/>
      <c r="K42" s="126" t="n"/>
      <c r="L42" s="126" t="n"/>
      <c r="M42" s="126" t="n"/>
      <c r="N42" s="122" t="n"/>
      <c r="O42" s="122" t="n"/>
    </row>
    <row r="43" ht="42" customHeight="1">
      <c r="A43" s="21" t="inlineStr">
        <is>
          <t>D1 — Base incompleta</t>
        </is>
      </c>
      <c r="B43" s="122" t="n"/>
      <c r="C43" s="52" t="inlineStr">
        <is>
          <t>A origem depreciava R$ 16.185.053. A base correta do ano 0 é R$ 16.201.826. Faltavam R$ 16.773: itens de laboratório pegos antes do acréscimo de 15%, e bancada (R$ 3.800) e armário de laboratório (R$ 4.048) não classificados em ativo nenhum.</t>
        </is>
      </c>
      <c r="N43" s="122" t="n"/>
      <c r="O43" s="3" t="inlineStr">
        <is>
          <t>subdepreciava</t>
        </is>
      </c>
    </row>
    <row r="44" ht="42" customHeight="1">
      <c r="A44" s="21" t="inlineStr">
        <is>
          <t>D2 — Vida útil ignorada</t>
        </is>
      </c>
      <c r="B44" s="122" t="n"/>
      <c r="C44" s="52" t="inlineStr">
        <is>
          <t>"Material de informática e móveis" tem vida de 5 anos na própria tabela da origem (20. Custos Unitários!B130) e era depreciado nos 10 anos do horizonte: R$ 313.844 sobre uma base de R$ 156.922. 200% do custo.</t>
        </is>
      </c>
      <c r="N44" s="122" t="n"/>
      <c r="O44" s="3" t="inlineStr">
        <is>
          <t>superdepreciava R$ 156.922</t>
        </is>
      </c>
    </row>
    <row r="45" ht="42" customHeight="1">
      <c r="A45" s="21" t="inlineStr">
        <is>
          <t>D3 — Reinvestimento sem depreciação</t>
        </is>
      </c>
      <c r="B45" s="122" t="n"/>
      <c r="C45" s="52" t="inlineStr">
        <is>
          <t>R$ 594 mil de CAPEX corrigido entra no fluxo nos anos 4, 5 e 7 e nunca aparecia na base. A tabela D133:D135 só olhava o ano 0.</t>
        </is>
      </c>
      <c r="N45" s="122" t="n"/>
      <c r="O45" s="3" t="inlineStr">
        <is>
          <t>subdepreciava</t>
        </is>
      </c>
    </row>
    <row r="46" ht="42" customHeight="1">
      <c r="A46" s="21" t="inlineStr">
        <is>
          <t>D4 — Base de volume inconsistente</t>
        </is>
      </c>
      <c r="B46" s="122" t="n"/>
      <c r="C46" s="52" t="inlineStr">
        <is>
          <t>A depreciação virava custo fixo unitário dividida por unidades PRODUZIDAS e voltava ao resultado multiplicada por unidades VENDIDAS. No ano 1 deduzia R$ 974.270 e somava de volta R$ 885.859: R$ 88.412 de caixa fantasma, todo ano.</t>
        </is>
      </c>
      <c r="N46" s="122" t="n"/>
      <c r="O46" s="3" t="inlineStr">
        <is>
          <t>inflava o fluxo de caixa</t>
        </is>
      </c>
    </row>
    <row r="47" ht="42" customHeight="1">
      <c r="A47" s="21" t="inlineStr">
        <is>
          <t>Não era erro</t>
        </is>
      </c>
      <c r="B47" s="122" t="n"/>
      <c r="C47" s="52" t="inlineStr">
        <is>
          <t>O terreno (R$ 908.612) está fora da base — correto, terreno não deprecia. E a depreciação era deduzida antes do imposto e somada de volta no fluxo: o mecanismo do escudo fiscal estava certo. O problema era o valor, não o lugar.</t>
        </is>
      </c>
      <c r="N47" s="122" t="n"/>
      <c r="O47" s="3" t="inlineStr">
        <is>
          <t>—</t>
        </is>
      </c>
    </row>
  </sheetData>
  <mergeCells count="5">
    <mergeCell ref="C43:M43"/>
    <mergeCell ref="C46:M46"/>
    <mergeCell ref="C47:M47"/>
    <mergeCell ref="C44:M44"/>
    <mergeCell ref="C45:M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O58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5" max="15"/>
  </cols>
  <sheetData>
    <row r="1">
      <c r="A1" s="1" t="inlineStr">
        <is>
          <t>DRE — FORMATO FP&amp;A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</row>
    <row r="2">
      <c r="A2" s="2" t="inlineStr">
        <is>
          <t>Margem em cada linha. Na origem o resultado estava espalhado entre 20. Custos Unitários, 21. PVU e 22.2 Fluxo de Caixa, e não havia EBITDA em lugar nenhum.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2" t="n"/>
      <c r="O3" s="122" t="n"/>
    </row>
    <row r="4">
      <c r="A4" s="122" t="n"/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</row>
    <row r="5">
      <c r="A5" s="122" t="n"/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</row>
    <row r="6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2" t="n"/>
      <c r="O6" s="122" t="n"/>
    </row>
    <row r="7">
      <c r="A7" s="10" t="inlineStr">
        <is>
          <t>Ano</t>
        </is>
      </c>
      <c r="B7" s="122" t="n"/>
      <c r="C7" s="11" t="n">
        <v>0</v>
      </c>
      <c r="D7" s="11" t="n">
        <v>1</v>
      </c>
      <c r="E7" s="11" t="n">
        <v>2</v>
      </c>
      <c r="F7" s="11" t="n">
        <v>3</v>
      </c>
      <c r="G7" s="11" t="n">
        <v>4</v>
      </c>
      <c r="H7" s="11" t="n">
        <v>5</v>
      </c>
      <c r="I7" s="11" t="n">
        <v>6</v>
      </c>
      <c r="J7" s="11" t="n">
        <v>7</v>
      </c>
      <c r="K7" s="11" t="n">
        <v>8</v>
      </c>
      <c r="L7" s="11" t="n">
        <v>9</v>
      </c>
      <c r="M7" s="11" t="n">
        <v>10</v>
      </c>
      <c r="N7" s="122" t="n"/>
      <c r="O7" s="3" t="inlineStr">
        <is>
          <t>Observação</t>
        </is>
      </c>
    </row>
    <row r="8">
      <c r="A8" s="12" t="inlineStr">
        <is>
          <t>Exercício</t>
        </is>
      </c>
      <c r="B8" s="125" t="n"/>
      <c r="C8" s="14" t="inlineStr">
        <is>
          <t>2023</t>
        </is>
      </c>
      <c r="D8" s="14" t="inlineStr">
        <is>
          <t>2024</t>
        </is>
      </c>
      <c r="E8" s="14" t="inlineStr">
        <is>
          <t>2025</t>
        </is>
      </c>
      <c r="F8" s="14" t="inlineStr">
        <is>
          <t>2026</t>
        </is>
      </c>
      <c r="G8" s="14" t="inlineStr">
        <is>
          <t>2027</t>
        </is>
      </c>
      <c r="H8" s="14" t="inlineStr">
        <is>
          <t>2028</t>
        </is>
      </c>
      <c r="I8" s="14" t="inlineStr">
        <is>
          <t>2029</t>
        </is>
      </c>
      <c r="J8" s="14" t="inlineStr">
        <is>
          <t>2030</t>
        </is>
      </c>
      <c r="K8" s="14" t="inlineStr">
        <is>
          <t>2031</t>
        </is>
      </c>
      <c r="L8" s="14" t="inlineStr">
        <is>
          <t>2032</t>
        </is>
      </c>
      <c r="M8" s="14" t="inlineStr">
        <is>
          <t>2033</t>
        </is>
      </c>
      <c r="N8" s="122" t="n"/>
      <c r="O8" s="122" t="n"/>
    </row>
    <row r="9">
      <c r="A9" s="122" t="n"/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</row>
    <row r="10">
      <c r="A10" s="15" t="inlineStr">
        <is>
          <t>A. APURAÇÃO DO PREÇO  (custo total + markup — a lógica da origem, com cada parcela visível)</t>
        </is>
      </c>
      <c r="B10" s="126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2" t="n"/>
      <c r="O10" s="122" t="n"/>
    </row>
    <row r="11">
      <c r="A11" s="17" t="inlineStr">
        <is>
          <t>Volume</t>
        </is>
      </c>
      <c r="B11" s="2" t="inlineStr">
        <is>
          <t>un/ano</t>
        </is>
      </c>
      <c r="C11" s="53" t="inlineStr">
        <is>
          <t>—</t>
        </is>
      </c>
      <c r="D11" s="18">
        <f>'2. Inputs'!D14</f>
        <v/>
      </c>
      <c r="E11" s="18">
        <f>'2. Inputs'!E14</f>
        <v/>
      </c>
      <c r="F11" s="18">
        <f>'2. Inputs'!F14</f>
        <v/>
      </c>
      <c r="G11" s="18">
        <f>'2. Inputs'!G14</f>
        <v/>
      </c>
      <c r="H11" s="18">
        <f>'2. Inputs'!H14</f>
        <v/>
      </c>
      <c r="I11" s="18">
        <f>'2. Inputs'!I14</f>
        <v/>
      </c>
      <c r="J11" s="18">
        <f>'2. Inputs'!J14</f>
        <v/>
      </c>
      <c r="K11" s="18">
        <f>'2. Inputs'!K14</f>
        <v/>
      </c>
      <c r="L11" s="18">
        <f>'2. Inputs'!L14</f>
        <v/>
      </c>
      <c r="M11" s="18">
        <f>'2. Inputs'!M14</f>
        <v/>
      </c>
      <c r="N11" s="122" t="n"/>
      <c r="O11" s="122" t="n"/>
    </row>
    <row r="12">
      <c r="A12" s="17" t="inlineStr">
        <is>
          <t>Custo variável</t>
        </is>
      </c>
      <c r="B12" s="2" t="inlineStr">
        <is>
          <t>R$</t>
        </is>
      </c>
      <c r="C12" s="53" t="inlineStr">
        <is>
          <t>—</t>
        </is>
      </c>
      <c r="D12" s="38">
        <f>D11*'2. Inputs'!D45</f>
        <v/>
      </c>
      <c r="E12" s="38">
        <f>E11*'2. Inputs'!E45</f>
        <v/>
      </c>
      <c r="F12" s="38">
        <f>F11*'2. Inputs'!F45</f>
        <v/>
      </c>
      <c r="G12" s="38">
        <f>G11*'2. Inputs'!G45</f>
        <v/>
      </c>
      <c r="H12" s="38">
        <f>H11*'2. Inputs'!H45</f>
        <v/>
      </c>
      <c r="I12" s="38">
        <f>I11*'2. Inputs'!I45</f>
        <v/>
      </c>
      <c r="J12" s="38">
        <f>J11*'2. Inputs'!J45</f>
        <v/>
      </c>
      <c r="K12" s="38">
        <f>K11*'2. Inputs'!K45</f>
        <v/>
      </c>
      <c r="L12" s="38">
        <f>L11*'2. Inputs'!L45</f>
        <v/>
      </c>
      <c r="M12" s="38">
        <f>M11*'2. Inputs'!M45</f>
        <v/>
      </c>
      <c r="N12" s="122" t="n"/>
      <c r="O12" s="122" t="n"/>
    </row>
    <row r="13">
      <c r="A13" s="17" t="inlineStr">
        <is>
          <t>Frete sobre vendas</t>
        </is>
      </c>
      <c r="B13" s="2" t="inlineStr">
        <is>
          <t>R$</t>
        </is>
      </c>
      <c r="C13" s="53" t="inlineStr">
        <is>
          <t>—</t>
        </is>
      </c>
      <c r="D13" s="38">
        <f>D11*'2. Inputs'!D29</f>
        <v/>
      </c>
      <c r="E13" s="38">
        <f>E11*'2. Inputs'!E29</f>
        <v/>
      </c>
      <c r="F13" s="38">
        <f>F11*'2. Inputs'!F29</f>
        <v/>
      </c>
      <c r="G13" s="38">
        <f>G11*'2. Inputs'!G29</f>
        <v/>
      </c>
      <c r="H13" s="38">
        <f>H11*'2. Inputs'!H29</f>
        <v/>
      </c>
      <c r="I13" s="38">
        <f>I11*'2. Inputs'!I29</f>
        <v/>
      </c>
      <c r="J13" s="38">
        <f>J11*'2. Inputs'!J29</f>
        <v/>
      </c>
      <c r="K13" s="38">
        <f>K11*'2. Inputs'!K29</f>
        <v/>
      </c>
      <c r="L13" s="38">
        <f>L11*'2. Inputs'!L29</f>
        <v/>
      </c>
      <c r="M13" s="38">
        <f>M11*'2. Inputs'!M29</f>
        <v/>
      </c>
      <c r="N13" s="122" t="n"/>
      <c r="O13" s="2" t="inlineStr">
        <is>
          <t>Volume x frete unitário ponderado pelo mix regional.</t>
        </is>
      </c>
    </row>
    <row r="14">
      <c r="A14" s="17" t="inlineStr">
        <is>
          <t>Custo fixo de estrutura</t>
        </is>
      </c>
      <c r="B14" s="2" t="inlineStr">
        <is>
          <t>R$</t>
        </is>
      </c>
      <c r="C14" s="53" t="inlineStr">
        <is>
          <t>—</t>
        </is>
      </c>
      <c r="D14" s="18">
        <f>'2. Inputs'!D46</f>
        <v/>
      </c>
      <c r="E14" s="18">
        <f>'2. Inputs'!E46</f>
        <v/>
      </c>
      <c r="F14" s="18">
        <f>'2. Inputs'!F46</f>
        <v/>
      </c>
      <c r="G14" s="18">
        <f>'2. Inputs'!G46</f>
        <v/>
      </c>
      <c r="H14" s="18">
        <f>'2. Inputs'!H46</f>
        <v/>
      </c>
      <c r="I14" s="18">
        <f>'2. Inputs'!I46</f>
        <v/>
      </c>
      <c r="J14" s="18">
        <f>'2. Inputs'!J46</f>
        <v/>
      </c>
      <c r="K14" s="18">
        <f>'2. Inputs'!K46</f>
        <v/>
      </c>
      <c r="L14" s="18">
        <f>'2. Inputs'!L46</f>
        <v/>
      </c>
      <c r="M14" s="18">
        <f>'2. Inputs'!M46</f>
        <v/>
      </c>
      <c r="N14" s="122" t="n"/>
      <c r="O14" s="122" t="n"/>
    </row>
    <row r="15">
      <c r="A15" s="17" t="inlineStr">
        <is>
          <t>Manutenção e seguro</t>
        </is>
      </c>
      <c r="B15" s="2" t="inlineStr">
        <is>
          <t>R$</t>
        </is>
      </c>
      <c r="C15" s="53" t="inlineStr">
        <is>
          <t>—</t>
        </is>
      </c>
      <c r="D15" s="38">
        <f>('2. Inputs'!D47+'2. Inputs'!D48)*'2. Inputs'!D54</f>
        <v/>
      </c>
      <c r="E15" s="38">
        <f>('2. Inputs'!E47+'2. Inputs'!E48)*'2. Inputs'!E54</f>
        <v/>
      </c>
      <c r="F15" s="38">
        <f>('2. Inputs'!F47+'2. Inputs'!F48)*'2. Inputs'!F54</f>
        <v/>
      </c>
      <c r="G15" s="38">
        <f>('2. Inputs'!G47+'2. Inputs'!G48)*'2. Inputs'!G54</f>
        <v/>
      </c>
      <c r="H15" s="38">
        <f>('2. Inputs'!H47+'2. Inputs'!H48)*'2. Inputs'!H54</f>
        <v/>
      </c>
      <c r="I15" s="38">
        <f>('2. Inputs'!I47+'2. Inputs'!I48)*'2. Inputs'!I54</f>
        <v/>
      </c>
      <c r="J15" s="38">
        <f>('2. Inputs'!J47+'2. Inputs'!J48)*'2. Inputs'!J54</f>
        <v/>
      </c>
      <c r="K15" s="38">
        <f>('2. Inputs'!K47+'2. Inputs'!K48)*'2. Inputs'!K54</f>
        <v/>
      </c>
      <c r="L15" s="38">
        <f>('2. Inputs'!L47+'2. Inputs'!L48)*'2. Inputs'!L54</f>
        <v/>
      </c>
      <c r="M15" s="38">
        <f>('2. Inputs'!M47+'2. Inputs'!M48)*'2. Inputs'!M54</f>
        <v/>
      </c>
      <c r="N15" s="122" t="n"/>
      <c r="O15" s="2" t="inlineStr">
        <is>
          <t>(3,0% + 1,5%) x CAPEX acumulado.</t>
        </is>
      </c>
    </row>
    <row r="16">
      <c r="A16" s="17" t="inlineStr">
        <is>
          <t>Contingência</t>
        </is>
      </c>
      <c r="B16" s="2" t="inlineStr">
        <is>
          <t>R$</t>
        </is>
      </c>
      <c r="C16" s="53" t="inlineStr">
        <is>
          <t>—</t>
        </is>
      </c>
      <c r="D16" s="38">
        <f>'2. Inputs'!D49*'2. Inputs'!D54</f>
        <v/>
      </c>
      <c r="E16" s="38">
        <f>'2. Inputs'!E49*'2. Inputs'!E54</f>
        <v/>
      </c>
      <c r="F16" s="38">
        <f>'2. Inputs'!F49*'2. Inputs'!F54</f>
        <v/>
      </c>
      <c r="G16" s="38">
        <f>'2. Inputs'!G49*'2. Inputs'!G54</f>
        <v/>
      </c>
      <c r="H16" s="38">
        <f>'2. Inputs'!H49*'2. Inputs'!H54</f>
        <v/>
      </c>
      <c r="I16" s="38">
        <f>'2. Inputs'!I49*'2. Inputs'!I54</f>
        <v/>
      </c>
      <c r="J16" s="38">
        <f>'2. Inputs'!J49*'2. Inputs'!J54</f>
        <v/>
      </c>
      <c r="K16" s="38">
        <f>'2. Inputs'!K49*'2. Inputs'!K54</f>
        <v/>
      </c>
      <c r="L16" s="38">
        <f>'2. Inputs'!L49*'2. Inputs'!L54</f>
        <v/>
      </c>
      <c r="M16" s="38">
        <f>'2. Inputs'!M49*'2. Inputs'!M54</f>
        <v/>
      </c>
      <c r="N16" s="122" t="n"/>
      <c r="O16" s="2" t="inlineStr">
        <is>
          <t>% x CAPEX acumulado — alavanca de cenário.</t>
        </is>
      </c>
    </row>
    <row r="17">
      <c r="A17" s="17" t="inlineStr">
        <is>
          <t>Depreciação</t>
        </is>
      </c>
      <c r="B17" s="2" t="inlineStr">
        <is>
          <t>R$</t>
        </is>
      </c>
      <c r="C17" s="53" t="inlineStr">
        <is>
          <t>—</t>
        </is>
      </c>
      <c r="D17" s="18">
        <f>'3. Depreciacao'!D31</f>
        <v/>
      </c>
      <c r="E17" s="18">
        <f>'3. Depreciacao'!E31</f>
        <v/>
      </c>
      <c r="F17" s="18">
        <f>'3. Depreciacao'!F31</f>
        <v/>
      </c>
      <c r="G17" s="18">
        <f>'3. Depreciacao'!G31</f>
        <v/>
      </c>
      <c r="H17" s="18">
        <f>'3. Depreciacao'!H31</f>
        <v/>
      </c>
      <c r="I17" s="18">
        <f>'3. Depreciacao'!I31</f>
        <v/>
      </c>
      <c r="J17" s="18">
        <f>'3. Depreciacao'!J31</f>
        <v/>
      </c>
      <c r="K17" s="18">
        <f>'3. Depreciacao'!K31</f>
        <v/>
      </c>
      <c r="L17" s="18">
        <f>'3. Depreciacao'!L31</f>
        <v/>
      </c>
      <c r="M17" s="18">
        <f>'3. Depreciacao'!M31</f>
        <v/>
      </c>
      <c r="N17" s="122" t="n"/>
      <c r="O17" s="122" t="n"/>
    </row>
    <row r="18">
      <c r="A18" s="21" t="inlineStr">
        <is>
          <t>CUSTO TOTAL</t>
        </is>
      </c>
      <c r="B18" s="2" t="inlineStr">
        <is>
          <t>R$</t>
        </is>
      </c>
      <c r="C18" s="122" t="n"/>
      <c r="D18" s="51">
        <f>SUM(D12:D17)</f>
        <v/>
      </c>
      <c r="E18" s="51">
        <f>SUM(E12:E17)</f>
        <v/>
      </c>
      <c r="F18" s="51">
        <f>SUM(F12:F17)</f>
        <v/>
      </c>
      <c r="G18" s="51">
        <f>SUM(G12:G17)</f>
        <v/>
      </c>
      <c r="H18" s="51">
        <f>SUM(H12:H17)</f>
        <v/>
      </c>
      <c r="I18" s="51">
        <f>SUM(I12:I17)</f>
        <v/>
      </c>
      <c r="J18" s="51">
        <f>SUM(J12:J17)</f>
        <v/>
      </c>
      <c r="K18" s="51">
        <f>SUM(K12:K17)</f>
        <v/>
      </c>
      <c r="L18" s="51">
        <f>SUM(L12:L17)</f>
        <v/>
      </c>
      <c r="M18" s="51">
        <f>SUM(M12:M17)</f>
        <v/>
      </c>
      <c r="N18" s="122" t="n"/>
      <c r="O18" s="122" t="n"/>
    </row>
    <row r="19">
      <c r="A19" s="17" t="inlineStr">
        <is>
          <t>Custo total unitário (CTU)</t>
        </is>
      </c>
      <c r="B19" s="2" t="inlineStr">
        <is>
          <t>R$/un</t>
        </is>
      </c>
      <c r="C19" s="122" t="n"/>
      <c r="D19" s="48">
        <f>D18/D11</f>
        <v/>
      </c>
      <c r="E19" s="48">
        <f>E18/E11</f>
        <v/>
      </c>
      <c r="F19" s="48">
        <f>F18/F11</f>
        <v/>
      </c>
      <c r="G19" s="48">
        <f>G18/G11</f>
        <v/>
      </c>
      <c r="H19" s="48">
        <f>H18/H11</f>
        <v/>
      </c>
      <c r="I19" s="48">
        <f>I18/I11</f>
        <v/>
      </c>
      <c r="J19" s="48">
        <f>J18/J11</f>
        <v/>
      </c>
      <c r="K19" s="48">
        <f>K18/K11</f>
        <v/>
      </c>
      <c r="L19" s="48">
        <f>L18/L11</f>
        <v/>
      </c>
      <c r="M19" s="48">
        <f>M18/M11</f>
        <v/>
      </c>
      <c r="N19" s="122" t="n"/>
      <c r="O19" s="2" t="inlineStr">
        <is>
          <t>Na origem o CTU estava DIGITADO em 21. PVU!C3:C12 e já não batia com o custo calculado.</t>
        </is>
      </c>
    </row>
    <row r="20">
      <c r="A20" s="17" t="inlineStr">
        <is>
          <t>Markup total</t>
        </is>
      </c>
      <c r="B20" s="2" t="inlineStr">
        <is>
          <t>%</t>
        </is>
      </c>
      <c r="C20" s="122" t="n"/>
      <c r="D20" s="54">
        <f>'2. Inputs'!D40</f>
        <v/>
      </c>
      <c r="E20" s="54">
        <f>'2. Inputs'!E40</f>
        <v/>
      </c>
      <c r="F20" s="54">
        <f>'2. Inputs'!F40</f>
        <v/>
      </c>
      <c r="G20" s="54">
        <f>'2. Inputs'!G40</f>
        <v/>
      </c>
      <c r="H20" s="54">
        <f>'2. Inputs'!H40</f>
        <v/>
      </c>
      <c r="I20" s="54">
        <f>'2. Inputs'!I40</f>
        <v/>
      </c>
      <c r="J20" s="54">
        <f>'2. Inputs'!J40</f>
        <v/>
      </c>
      <c r="K20" s="54">
        <f>'2. Inputs'!K40</f>
        <v/>
      </c>
      <c r="L20" s="54">
        <f>'2. Inputs'!L40</f>
        <v/>
      </c>
      <c r="M20" s="54">
        <f>'2. Inputs'!M40</f>
        <v/>
      </c>
      <c r="N20" s="122" t="n"/>
      <c r="O20" s="122" t="n"/>
    </row>
    <row r="21">
      <c r="A21" s="21" t="inlineStr">
        <is>
          <t>PREÇO BRUTO UNITÁRIO</t>
        </is>
      </c>
      <c r="B21" s="2" t="inlineStr">
        <is>
          <t>R$/un</t>
        </is>
      </c>
      <c r="C21" s="122" t="n"/>
      <c r="D21" s="34">
        <f>IF('2. Inputs'!$C$38=1,D19/(1-D20),'2. Inputs'!D39)</f>
        <v/>
      </c>
      <c r="E21" s="34">
        <f>IF('2. Inputs'!$C$38=1,E19/(1-E20),'2. Inputs'!E39)</f>
        <v/>
      </c>
      <c r="F21" s="34">
        <f>IF('2. Inputs'!$C$38=1,F19/(1-F20),'2. Inputs'!F39)</f>
        <v/>
      </c>
      <c r="G21" s="34">
        <f>IF('2. Inputs'!$C$38=1,G19/(1-G20),'2. Inputs'!G39)</f>
        <v/>
      </c>
      <c r="H21" s="34">
        <f>IF('2. Inputs'!$C$38=1,H19/(1-H20),'2. Inputs'!H39)</f>
        <v/>
      </c>
      <c r="I21" s="34">
        <f>IF('2. Inputs'!$C$38=1,I19/(1-I20),'2. Inputs'!I39)</f>
        <v/>
      </c>
      <c r="J21" s="34">
        <f>IF('2. Inputs'!$C$38=1,J19/(1-J20),'2. Inputs'!J39)</f>
        <v/>
      </c>
      <c r="K21" s="34">
        <f>IF('2. Inputs'!$C$38=1,K19/(1-K20),'2. Inputs'!K39)</f>
        <v/>
      </c>
      <c r="L21" s="34">
        <f>IF('2. Inputs'!$C$38=1,L19/(1-L20),'2. Inputs'!L39)</f>
        <v/>
      </c>
      <c r="M21" s="34">
        <f>IF('2. Inputs'!$C$38=1,M19/(1-M20),'2. Inputs'!M39)</f>
        <v/>
      </c>
      <c r="N21" s="122" t="n"/>
      <c r="O21" s="2" t="inlineStr">
        <is>
          <t>Modo 1: CTU / (1 − markup). Modo 2: preço de mercado da aba 2. Inputs.</t>
        </is>
      </c>
    </row>
    <row r="22">
      <c r="A22" s="122" t="n"/>
      <c r="B22" s="122" t="n"/>
      <c r="C22" s="122" t="n"/>
      <c r="D22" s="122" t="n"/>
      <c r="E22" s="122" t="n"/>
      <c r="F22" s="122" t="n"/>
      <c r="G22" s="122" t="n"/>
      <c r="H22" s="122" t="n"/>
      <c r="I22" s="122" t="n"/>
      <c r="J22" s="122" t="n"/>
      <c r="K22" s="122" t="n"/>
      <c r="L22" s="122" t="n"/>
      <c r="M22" s="122" t="n"/>
      <c r="N22" s="122" t="n"/>
      <c r="O22" s="122" t="n"/>
    </row>
    <row r="23">
      <c r="A23" s="15" t="inlineStr">
        <is>
          <t>B. DEMONSTRAÇÃO DE RESULTADO</t>
        </is>
      </c>
      <c r="B23" s="126" t="n"/>
      <c r="C23" s="126" t="n"/>
      <c r="D23" s="126" t="n"/>
      <c r="E23" s="126" t="n"/>
      <c r="F23" s="126" t="n"/>
      <c r="G23" s="126" t="n"/>
      <c r="H23" s="126" t="n"/>
      <c r="I23" s="126" t="n"/>
      <c r="J23" s="126" t="n"/>
      <c r="K23" s="126" t="n"/>
      <c r="L23" s="126" t="n"/>
      <c r="M23" s="126" t="n"/>
      <c r="N23" s="122" t="n"/>
      <c r="O23" s="122" t="n"/>
    </row>
    <row r="24">
      <c r="A24" s="17" t="inlineStr">
        <is>
          <t>Volume</t>
        </is>
      </c>
      <c r="B24" s="2" t="inlineStr">
        <is>
          <t>un/ano</t>
        </is>
      </c>
      <c r="C24" s="53" t="inlineStr">
        <is>
          <t>—</t>
        </is>
      </c>
      <c r="D24" s="38">
        <f>D11</f>
        <v/>
      </c>
      <c r="E24" s="38">
        <f>E11</f>
        <v/>
      </c>
      <c r="F24" s="38">
        <f>F11</f>
        <v/>
      </c>
      <c r="G24" s="38">
        <f>G11</f>
        <v/>
      </c>
      <c r="H24" s="38">
        <f>H11</f>
        <v/>
      </c>
      <c r="I24" s="38">
        <f>I11</f>
        <v/>
      </c>
      <c r="J24" s="38">
        <f>J11</f>
        <v/>
      </c>
      <c r="K24" s="38">
        <f>K11</f>
        <v/>
      </c>
      <c r="L24" s="38">
        <f>L11</f>
        <v/>
      </c>
      <c r="M24" s="38">
        <f>M11</f>
        <v/>
      </c>
      <c r="N24" s="122" t="n"/>
      <c r="O24" s="122" t="n"/>
    </row>
    <row r="25">
      <c r="A25" s="17" t="inlineStr">
        <is>
          <t>Preço bruto unitário</t>
        </is>
      </c>
      <c r="B25" s="2" t="inlineStr">
        <is>
          <t>R$/un</t>
        </is>
      </c>
      <c r="C25" s="122" t="n"/>
      <c r="D25" s="48">
        <f>D21</f>
        <v/>
      </c>
      <c r="E25" s="48">
        <f>E21</f>
        <v/>
      </c>
      <c r="F25" s="48">
        <f>F21</f>
        <v/>
      </c>
      <c r="G25" s="48">
        <f>G21</f>
        <v/>
      </c>
      <c r="H25" s="48">
        <f>H21</f>
        <v/>
      </c>
      <c r="I25" s="48">
        <f>I21</f>
        <v/>
      </c>
      <c r="J25" s="48">
        <f>J21</f>
        <v/>
      </c>
      <c r="K25" s="48">
        <f>K21</f>
        <v/>
      </c>
      <c r="L25" s="48">
        <f>L21</f>
        <v/>
      </c>
      <c r="M25" s="48">
        <f>M21</f>
        <v/>
      </c>
      <c r="N25" s="122" t="n"/>
      <c r="O25" s="122" t="n"/>
    </row>
    <row r="26">
      <c r="A26" s="21" t="inlineStr">
        <is>
          <t>RECEITA BRUTA</t>
        </is>
      </c>
      <c r="B26" s="2" t="inlineStr">
        <is>
          <t>R$</t>
        </is>
      </c>
      <c r="C26" s="122" t="n"/>
      <c r="D26" s="22">
        <f>D24*D25</f>
        <v/>
      </c>
      <c r="E26" s="22">
        <f>E24*E25</f>
        <v/>
      </c>
      <c r="F26" s="22">
        <f>F24*F25</f>
        <v/>
      </c>
      <c r="G26" s="22">
        <f>G24*G25</f>
        <v/>
      </c>
      <c r="H26" s="22">
        <f>H24*H25</f>
        <v/>
      </c>
      <c r="I26" s="22">
        <f>I24*I25</f>
        <v/>
      </c>
      <c r="J26" s="22">
        <f>J24*J25</f>
        <v/>
      </c>
      <c r="K26" s="22">
        <f>K24*K25</f>
        <v/>
      </c>
      <c r="L26" s="22">
        <f>L24*L25</f>
        <v/>
      </c>
      <c r="M26" s="22">
        <f>M24*M25</f>
        <v/>
      </c>
      <c r="N26" s="122" t="n"/>
      <c r="O26" s="122" t="n"/>
    </row>
    <row r="27">
      <c r="A27" s="17" t="inlineStr">
        <is>
          <t xml:space="preserve">   (−) ICMS</t>
        </is>
      </c>
      <c r="B27" s="2" t="inlineStr">
        <is>
          <t>R$</t>
        </is>
      </c>
      <c r="C27" s="122" t="n"/>
      <c r="D27" s="38">
        <f>-'2. Inputs'!D32*D26</f>
        <v/>
      </c>
      <c r="E27" s="38">
        <f>-'2. Inputs'!E32*E26</f>
        <v/>
      </c>
      <c r="F27" s="38">
        <f>-'2. Inputs'!F32*F26</f>
        <v/>
      </c>
      <c r="G27" s="38">
        <f>-'2. Inputs'!G32*G26</f>
        <v/>
      </c>
      <c r="H27" s="38">
        <f>-'2. Inputs'!H32*H26</f>
        <v/>
      </c>
      <c r="I27" s="38">
        <f>-'2. Inputs'!I32*I26</f>
        <v/>
      </c>
      <c r="J27" s="38">
        <f>-'2. Inputs'!J32*J26</f>
        <v/>
      </c>
      <c r="K27" s="38">
        <f>-'2. Inputs'!K32*K26</f>
        <v/>
      </c>
      <c r="L27" s="38">
        <f>-'2. Inputs'!L32*L26</f>
        <v/>
      </c>
      <c r="M27" s="38">
        <f>-'2. Inputs'!M32*M26</f>
        <v/>
      </c>
      <c r="N27" s="122" t="n"/>
      <c r="O27" s="122" t="n"/>
    </row>
    <row r="28">
      <c r="A28" s="17" t="inlineStr">
        <is>
          <t xml:space="preserve">   (−) PIS e COFINS</t>
        </is>
      </c>
      <c r="B28" s="2" t="inlineStr">
        <is>
          <t>R$</t>
        </is>
      </c>
      <c r="C28" s="122" t="n"/>
      <c r="D28" s="38">
        <f>-('2. Inputs'!D33+'2. Inputs'!D34)*D26</f>
        <v/>
      </c>
      <c r="E28" s="38">
        <f>-('2. Inputs'!E33+'2. Inputs'!E34)*E26</f>
        <v/>
      </c>
      <c r="F28" s="38">
        <f>-('2. Inputs'!F33+'2. Inputs'!F34)*F26</f>
        <v/>
      </c>
      <c r="G28" s="38">
        <f>-('2. Inputs'!G33+'2. Inputs'!G34)*G26</f>
        <v/>
      </c>
      <c r="H28" s="38">
        <f>-('2. Inputs'!H33+'2. Inputs'!H34)*H26</f>
        <v/>
      </c>
      <c r="I28" s="38">
        <f>-('2. Inputs'!I33+'2. Inputs'!I34)*I26</f>
        <v/>
      </c>
      <c r="J28" s="38">
        <f>-('2. Inputs'!J33+'2. Inputs'!J34)*J26</f>
        <v/>
      </c>
      <c r="K28" s="38">
        <f>-('2. Inputs'!K33+'2. Inputs'!K34)*K26</f>
        <v/>
      </c>
      <c r="L28" s="38">
        <f>-('2. Inputs'!L33+'2. Inputs'!L34)*L26</f>
        <v/>
      </c>
      <c r="M28" s="38">
        <f>-('2. Inputs'!M33+'2. Inputs'!M34)*M26</f>
        <v/>
      </c>
      <c r="N28" s="122" t="n"/>
      <c r="O28" s="122" t="n"/>
    </row>
    <row r="29">
      <c r="A29" s="21" t="inlineStr">
        <is>
          <t>RECEITA LÍQUIDA</t>
        </is>
      </c>
      <c r="B29" s="2" t="inlineStr">
        <is>
          <t>R$</t>
        </is>
      </c>
      <c r="C29" s="122" t="n"/>
      <c r="D29" s="51">
        <f>SUM(D26:D28)</f>
        <v/>
      </c>
      <c r="E29" s="51">
        <f>SUM(E26:E28)</f>
        <v/>
      </c>
      <c r="F29" s="51">
        <f>SUM(F26:F28)</f>
        <v/>
      </c>
      <c r="G29" s="51">
        <f>SUM(G26:G28)</f>
        <v/>
      </c>
      <c r="H29" s="51">
        <f>SUM(H26:H28)</f>
        <v/>
      </c>
      <c r="I29" s="51">
        <f>SUM(I26:I28)</f>
        <v/>
      </c>
      <c r="J29" s="51">
        <f>SUM(J26:J28)</f>
        <v/>
      </c>
      <c r="K29" s="51">
        <f>SUM(K26:K28)</f>
        <v/>
      </c>
      <c r="L29" s="51">
        <f>SUM(L26:L28)</f>
        <v/>
      </c>
      <c r="M29" s="51">
        <f>SUM(M26:M28)</f>
        <v/>
      </c>
      <c r="N29" s="122" t="n"/>
      <c r="O29" s="122" t="n"/>
    </row>
    <row r="30">
      <c r="A30" s="17" t="inlineStr">
        <is>
          <t xml:space="preserve">   Deduções sobre receita bruta</t>
        </is>
      </c>
      <c r="B30" s="2" t="inlineStr">
        <is>
          <t>% RB</t>
        </is>
      </c>
      <c r="C30" s="122" t="n"/>
      <c r="D30" s="55">
        <f>-(D27+D28)/D26</f>
        <v/>
      </c>
      <c r="E30" s="55">
        <f>-(E27+E28)/E26</f>
        <v/>
      </c>
      <c r="F30" s="55">
        <f>-(F27+F28)/F26</f>
        <v/>
      </c>
      <c r="G30" s="55">
        <f>-(G27+G28)/G26</f>
        <v/>
      </c>
      <c r="H30" s="55">
        <f>-(H27+H28)/H26</f>
        <v/>
      </c>
      <c r="I30" s="55">
        <f>-(I27+I28)/I26</f>
        <v/>
      </c>
      <c r="J30" s="55">
        <f>-(J27+J28)/J26</f>
        <v/>
      </c>
      <c r="K30" s="55">
        <f>-(K27+K28)/K26</f>
        <v/>
      </c>
      <c r="L30" s="55">
        <f>-(L27+L28)/L26</f>
        <v/>
      </c>
      <c r="M30" s="55">
        <f>-(M27+M28)/M26</f>
        <v/>
      </c>
      <c r="N30" s="122" t="n"/>
      <c r="O30" s="122" t="n"/>
    </row>
    <row r="31">
      <c r="A31" s="17" t="inlineStr">
        <is>
          <t xml:space="preserve">   (−) Custo variável</t>
        </is>
      </c>
      <c r="B31" s="2" t="inlineStr">
        <is>
          <t>R$</t>
        </is>
      </c>
      <c r="C31" s="122" t="n"/>
      <c r="D31" s="38">
        <f>-D12</f>
        <v/>
      </c>
      <c r="E31" s="38">
        <f>-E12</f>
        <v/>
      </c>
      <c r="F31" s="38">
        <f>-F12</f>
        <v/>
      </c>
      <c r="G31" s="38">
        <f>-G12</f>
        <v/>
      </c>
      <c r="H31" s="38">
        <f>-H12</f>
        <v/>
      </c>
      <c r="I31" s="38">
        <f>-I12</f>
        <v/>
      </c>
      <c r="J31" s="38">
        <f>-J12</f>
        <v/>
      </c>
      <c r="K31" s="38">
        <f>-K12</f>
        <v/>
      </c>
      <c r="L31" s="38">
        <f>-L12</f>
        <v/>
      </c>
      <c r="M31" s="38">
        <f>-M12</f>
        <v/>
      </c>
      <c r="N31" s="122" t="n"/>
      <c r="O31" s="122" t="n"/>
    </row>
    <row r="32">
      <c r="A32" s="17" t="inlineStr">
        <is>
          <t xml:space="preserve">   (−) Frete sobre vendas</t>
        </is>
      </c>
      <c r="B32" s="2" t="inlineStr">
        <is>
          <t>R$</t>
        </is>
      </c>
      <c r="C32" s="122" t="n"/>
      <c r="D32" s="38">
        <f>-D13</f>
        <v/>
      </c>
      <c r="E32" s="38">
        <f>-E13</f>
        <v/>
      </c>
      <c r="F32" s="38">
        <f>-F13</f>
        <v/>
      </c>
      <c r="G32" s="38">
        <f>-G13</f>
        <v/>
      </c>
      <c r="H32" s="38">
        <f>-H13</f>
        <v/>
      </c>
      <c r="I32" s="38">
        <f>-I13</f>
        <v/>
      </c>
      <c r="J32" s="38">
        <f>-J13</f>
        <v/>
      </c>
      <c r="K32" s="38">
        <f>-K13</f>
        <v/>
      </c>
      <c r="L32" s="38">
        <f>-L13</f>
        <v/>
      </c>
      <c r="M32" s="38">
        <f>-M13</f>
        <v/>
      </c>
      <c r="N32" s="122" t="n"/>
      <c r="O32" s="122" t="n"/>
    </row>
    <row r="33">
      <c r="A33" s="17" t="inlineStr">
        <is>
          <t xml:space="preserve">   (−) Comissão sobre vendas</t>
        </is>
      </c>
      <c r="B33" s="2" t="inlineStr">
        <is>
          <t>R$</t>
        </is>
      </c>
      <c r="C33" s="122" t="n"/>
      <c r="D33" s="38">
        <f>-'2. Inputs'!D35*D26</f>
        <v/>
      </c>
      <c r="E33" s="38">
        <f>-'2. Inputs'!E35*E26</f>
        <v/>
      </c>
      <c r="F33" s="38">
        <f>-'2. Inputs'!F35*F26</f>
        <v/>
      </c>
      <c r="G33" s="38">
        <f>-'2. Inputs'!G35*G26</f>
        <v/>
      </c>
      <c r="H33" s="38">
        <f>-'2. Inputs'!H35*H26</f>
        <v/>
      </c>
      <c r="I33" s="38">
        <f>-'2. Inputs'!I35*I26</f>
        <v/>
      </c>
      <c r="J33" s="38">
        <f>-'2. Inputs'!J35*J26</f>
        <v/>
      </c>
      <c r="K33" s="38">
        <f>-'2. Inputs'!K35*K26</f>
        <v/>
      </c>
      <c r="L33" s="38">
        <f>-'2. Inputs'!L35*L26</f>
        <v/>
      </c>
      <c r="M33" s="38">
        <f>-'2. Inputs'!M35*M26</f>
        <v/>
      </c>
      <c r="N33" s="122" t="n"/>
      <c r="O33" s="2" t="inlineStr">
        <is>
          <t>(confirmar) — na origem esta parcela de 3% estava DENTRO do markup e nunca virou despesa: virava margem escondida.</t>
        </is>
      </c>
    </row>
    <row r="34">
      <c r="A34" s="21" t="inlineStr">
        <is>
          <t>MARGEM DE CONTRIBUIÇÃO</t>
        </is>
      </c>
      <c r="B34" s="2" t="inlineStr">
        <is>
          <t>R$</t>
        </is>
      </c>
      <c r="C34" s="122" t="n"/>
      <c r="D34" s="51">
        <f>SUM(D31:D33)+D29</f>
        <v/>
      </c>
      <c r="E34" s="51">
        <f>SUM(E31:E33)+E29</f>
        <v/>
      </c>
      <c r="F34" s="51">
        <f>SUM(F31:F33)+F29</f>
        <v/>
      </c>
      <c r="G34" s="51">
        <f>SUM(G31:G33)+G29</f>
        <v/>
      </c>
      <c r="H34" s="51">
        <f>SUM(H31:H33)+H29</f>
        <v/>
      </c>
      <c r="I34" s="51">
        <f>SUM(I31:I33)+I29</f>
        <v/>
      </c>
      <c r="J34" s="51">
        <f>SUM(J31:J33)+J29</f>
        <v/>
      </c>
      <c r="K34" s="51">
        <f>SUM(K31:K33)+K29</f>
        <v/>
      </c>
      <c r="L34" s="51">
        <f>SUM(L31:L33)+L29</f>
        <v/>
      </c>
      <c r="M34" s="51">
        <f>SUM(M31:M33)+M29</f>
        <v/>
      </c>
      <c r="N34" s="122" t="n"/>
      <c r="O34" s="122" t="n"/>
    </row>
    <row r="35">
      <c r="A35" s="21" t="inlineStr">
        <is>
          <t xml:space="preserve">   Margem de contribuição</t>
        </is>
      </c>
      <c r="B35" s="2" t="inlineStr">
        <is>
          <t>% RL</t>
        </is>
      </c>
      <c r="C35" s="122" t="n"/>
      <c r="D35" s="56">
        <f>D34/D29</f>
        <v/>
      </c>
      <c r="E35" s="56">
        <f>E34/E29</f>
        <v/>
      </c>
      <c r="F35" s="56">
        <f>F34/F29</f>
        <v/>
      </c>
      <c r="G35" s="56">
        <f>G34/G29</f>
        <v/>
      </c>
      <c r="H35" s="56">
        <f>H34/H29</f>
        <v/>
      </c>
      <c r="I35" s="56">
        <f>I34/I29</f>
        <v/>
      </c>
      <c r="J35" s="56">
        <f>J34/J29</f>
        <v/>
      </c>
      <c r="K35" s="56">
        <f>K34/K29</f>
        <v/>
      </c>
      <c r="L35" s="56">
        <f>L34/L29</f>
        <v/>
      </c>
      <c r="M35" s="56">
        <f>M34/M29</f>
        <v/>
      </c>
      <c r="N35" s="122" t="n"/>
      <c r="O35" s="122" t="n"/>
    </row>
    <row r="36">
      <c r="A36" s="17" t="inlineStr">
        <is>
          <t xml:space="preserve">   (−) Custo fixo de estrutura</t>
        </is>
      </c>
      <c r="B36" s="2" t="inlineStr">
        <is>
          <t>R$</t>
        </is>
      </c>
      <c r="C36" s="122" t="n"/>
      <c r="D36" s="38">
        <f>-D14</f>
        <v/>
      </c>
      <c r="E36" s="38">
        <f>-E14</f>
        <v/>
      </c>
      <c r="F36" s="38">
        <f>-F14</f>
        <v/>
      </c>
      <c r="G36" s="38">
        <f>-G14</f>
        <v/>
      </c>
      <c r="H36" s="38">
        <f>-H14</f>
        <v/>
      </c>
      <c r="I36" s="38">
        <f>-I14</f>
        <v/>
      </c>
      <c r="J36" s="38">
        <f>-J14</f>
        <v/>
      </c>
      <c r="K36" s="38">
        <f>-K14</f>
        <v/>
      </c>
      <c r="L36" s="38">
        <f>-L14</f>
        <v/>
      </c>
      <c r="M36" s="38">
        <f>-M14</f>
        <v/>
      </c>
      <c r="N36" s="122" t="n"/>
      <c r="O36" s="122" t="n"/>
    </row>
    <row r="37">
      <c r="A37" s="17" t="inlineStr">
        <is>
          <t xml:space="preserve">   (−) Manutenção e seguro</t>
        </is>
      </c>
      <c r="B37" s="2" t="inlineStr">
        <is>
          <t>R$</t>
        </is>
      </c>
      <c r="C37" s="122" t="n"/>
      <c r="D37" s="38">
        <f>-D15</f>
        <v/>
      </c>
      <c r="E37" s="38">
        <f>-E15</f>
        <v/>
      </c>
      <c r="F37" s="38">
        <f>-F15</f>
        <v/>
      </c>
      <c r="G37" s="38">
        <f>-G15</f>
        <v/>
      </c>
      <c r="H37" s="38">
        <f>-H15</f>
        <v/>
      </c>
      <c r="I37" s="38">
        <f>-I15</f>
        <v/>
      </c>
      <c r="J37" s="38">
        <f>-J15</f>
        <v/>
      </c>
      <c r="K37" s="38">
        <f>-K15</f>
        <v/>
      </c>
      <c r="L37" s="38">
        <f>-L15</f>
        <v/>
      </c>
      <c r="M37" s="38">
        <f>-M15</f>
        <v/>
      </c>
      <c r="N37" s="122" t="n"/>
      <c r="O37" s="122" t="n"/>
    </row>
    <row r="38">
      <c r="A38" s="17" t="inlineStr">
        <is>
          <t xml:space="preserve">   (−) Contingência</t>
        </is>
      </c>
      <c r="B38" s="2" t="inlineStr">
        <is>
          <t>R$</t>
        </is>
      </c>
      <c r="C38" s="122" t="n"/>
      <c r="D38" s="38">
        <f>-D16</f>
        <v/>
      </c>
      <c r="E38" s="38">
        <f>-E16</f>
        <v/>
      </c>
      <c r="F38" s="38">
        <f>-F16</f>
        <v/>
      </c>
      <c r="G38" s="38">
        <f>-G16</f>
        <v/>
      </c>
      <c r="H38" s="38">
        <f>-H16</f>
        <v/>
      </c>
      <c r="I38" s="38">
        <f>-I16</f>
        <v/>
      </c>
      <c r="J38" s="38">
        <f>-J16</f>
        <v/>
      </c>
      <c r="K38" s="38">
        <f>-K16</f>
        <v/>
      </c>
      <c r="L38" s="38">
        <f>-L16</f>
        <v/>
      </c>
      <c r="M38" s="38">
        <f>-M16</f>
        <v/>
      </c>
      <c r="N38" s="122" t="n"/>
      <c r="O38" s="122" t="n"/>
    </row>
    <row r="39">
      <c r="A39" s="57" t="inlineStr">
        <is>
          <t>EBITDA</t>
        </is>
      </c>
      <c r="B39" s="58" t="inlineStr">
        <is>
          <t>R$</t>
        </is>
      </c>
      <c r="C39" s="122" t="n"/>
      <c r="D39" s="59">
        <f>D34+SUM(D36:D38)</f>
        <v/>
      </c>
      <c r="E39" s="59">
        <f>E34+SUM(E36:E38)</f>
        <v/>
      </c>
      <c r="F39" s="59">
        <f>F34+SUM(F36:F38)</f>
        <v/>
      </c>
      <c r="G39" s="59">
        <f>G34+SUM(G36:G38)</f>
        <v/>
      </c>
      <c r="H39" s="59">
        <f>H34+SUM(H36:H38)</f>
        <v/>
      </c>
      <c r="I39" s="59">
        <f>I34+SUM(I36:I38)</f>
        <v/>
      </c>
      <c r="J39" s="59">
        <f>J34+SUM(J36:J38)</f>
        <v/>
      </c>
      <c r="K39" s="59">
        <f>K34+SUM(K36:K38)</f>
        <v/>
      </c>
      <c r="L39" s="59">
        <f>L34+SUM(L36:L38)</f>
        <v/>
      </c>
      <c r="M39" s="59">
        <f>M34+SUM(M36:M38)</f>
        <v/>
      </c>
      <c r="N39" s="122" t="n"/>
      <c r="O39" s="122" t="n"/>
    </row>
    <row r="40">
      <c r="A40" s="21" t="inlineStr">
        <is>
          <t xml:space="preserve">   Margem EBITDA</t>
        </is>
      </c>
      <c r="B40" s="2" t="inlineStr">
        <is>
          <t>% RL</t>
        </is>
      </c>
      <c r="C40" s="122" t="n"/>
      <c r="D40" s="56">
        <f>D39/D29</f>
        <v/>
      </c>
      <c r="E40" s="56">
        <f>E39/E29</f>
        <v/>
      </c>
      <c r="F40" s="56">
        <f>F39/F29</f>
        <v/>
      </c>
      <c r="G40" s="56">
        <f>G39/G29</f>
        <v/>
      </c>
      <c r="H40" s="56">
        <f>H39/H29</f>
        <v/>
      </c>
      <c r="I40" s="56">
        <f>I39/I29</f>
        <v/>
      </c>
      <c r="J40" s="56">
        <f>J39/J29</f>
        <v/>
      </c>
      <c r="K40" s="56">
        <f>K39/K29</f>
        <v/>
      </c>
      <c r="L40" s="56">
        <f>L39/L29</f>
        <v/>
      </c>
      <c r="M40" s="56">
        <f>M39/M29</f>
        <v/>
      </c>
      <c r="N40" s="122" t="n"/>
      <c r="O40" s="122" t="n"/>
    </row>
    <row r="41">
      <c r="A41" s="17" t="inlineStr">
        <is>
          <t xml:space="preserve">   (−) Depreciação</t>
        </is>
      </c>
      <c r="B41" s="2" t="inlineStr">
        <is>
          <t>R$</t>
        </is>
      </c>
      <c r="C41" s="122" t="n"/>
      <c r="D41" s="38">
        <f>-D17</f>
        <v/>
      </c>
      <c r="E41" s="38">
        <f>-E17</f>
        <v/>
      </c>
      <c r="F41" s="38">
        <f>-F17</f>
        <v/>
      </c>
      <c r="G41" s="38">
        <f>-G17</f>
        <v/>
      </c>
      <c r="H41" s="38">
        <f>-H17</f>
        <v/>
      </c>
      <c r="I41" s="38">
        <f>-I17</f>
        <v/>
      </c>
      <c r="J41" s="38">
        <f>-J17</f>
        <v/>
      </c>
      <c r="K41" s="38">
        <f>-K17</f>
        <v/>
      </c>
      <c r="L41" s="38">
        <f>-L17</f>
        <v/>
      </c>
      <c r="M41" s="38">
        <f>-M17</f>
        <v/>
      </c>
      <c r="N41" s="122" t="n"/>
      <c r="O41" s="122" t="n"/>
    </row>
    <row r="42">
      <c r="A42" s="21" t="inlineStr">
        <is>
          <t>EBIT</t>
        </is>
      </c>
      <c r="B42" s="2" t="inlineStr">
        <is>
          <t>R$</t>
        </is>
      </c>
      <c r="C42" s="122" t="n"/>
      <c r="D42" s="51">
        <f>D39+D41</f>
        <v/>
      </c>
      <c r="E42" s="51">
        <f>E39+E41</f>
        <v/>
      </c>
      <c r="F42" s="51">
        <f>F39+F41</f>
        <v/>
      </c>
      <c r="G42" s="51">
        <f>G39+G41</f>
        <v/>
      </c>
      <c r="H42" s="51">
        <f>H39+H41</f>
        <v/>
      </c>
      <c r="I42" s="51">
        <f>I39+I41</f>
        <v/>
      </c>
      <c r="J42" s="51">
        <f>J39+J41</f>
        <v/>
      </c>
      <c r="K42" s="51">
        <f>K39+K41</f>
        <v/>
      </c>
      <c r="L42" s="51">
        <f>L39+L41</f>
        <v/>
      </c>
      <c r="M42" s="51">
        <f>M39+M41</f>
        <v/>
      </c>
      <c r="N42" s="122" t="n"/>
      <c r="O42" s="122" t="n"/>
    </row>
    <row r="43">
      <c r="A43" s="21" t="inlineStr">
        <is>
          <t xml:space="preserve">   Margem EBIT</t>
        </is>
      </c>
      <c r="B43" s="2" t="inlineStr">
        <is>
          <t>% RL</t>
        </is>
      </c>
      <c r="C43" s="122" t="n"/>
      <c r="D43" s="56">
        <f>D42/D29</f>
        <v/>
      </c>
      <c r="E43" s="56">
        <f>E42/E29</f>
        <v/>
      </c>
      <c r="F43" s="56">
        <f>F42/F29</f>
        <v/>
      </c>
      <c r="G43" s="56">
        <f>G42/G29</f>
        <v/>
      </c>
      <c r="H43" s="56">
        <f>H42/H29</f>
        <v/>
      </c>
      <c r="I43" s="56">
        <f>I42/I29</f>
        <v/>
      </c>
      <c r="J43" s="56">
        <f>J42/J29</f>
        <v/>
      </c>
      <c r="K43" s="56">
        <f>K42/K29</f>
        <v/>
      </c>
      <c r="L43" s="56">
        <f>L42/L29</f>
        <v/>
      </c>
      <c r="M43" s="56">
        <f>M42/M29</f>
        <v/>
      </c>
      <c r="N43" s="122" t="n"/>
      <c r="O43" s="122" t="n"/>
    </row>
    <row r="44">
      <c r="A44" s="17" t="inlineStr">
        <is>
          <t xml:space="preserve">   (−) IRPJ + adicional</t>
        </is>
      </c>
      <c r="B44" s="2" t="inlineStr">
        <is>
          <t>R$</t>
        </is>
      </c>
      <c r="C44" s="122" t="n"/>
      <c r="D44" s="38">
        <f>-IF(D42&gt;0,'2. Inputs'!D58*D42+'2. Inputs'!D59*MAX(0,D42-'2. Inputs'!D60),0)</f>
        <v/>
      </c>
      <c r="E44" s="38">
        <f>-IF(E42&gt;0,'2. Inputs'!E58*E42+'2. Inputs'!E59*MAX(0,E42-'2. Inputs'!E60),0)</f>
        <v/>
      </c>
      <c r="F44" s="38">
        <f>-IF(F42&gt;0,'2. Inputs'!F58*F42+'2. Inputs'!F59*MAX(0,F42-'2. Inputs'!F60),0)</f>
        <v/>
      </c>
      <c r="G44" s="38">
        <f>-IF(G42&gt;0,'2. Inputs'!G58*G42+'2. Inputs'!G59*MAX(0,G42-'2. Inputs'!G60),0)</f>
        <v/>
      </c>
      <c r="H44" s="38">
        <f>-IF(H42&gt;0,'2. Inputs'!H58*H42+'2. Inputs'!H59*MAX(0,H42-'2. Inputs'!H60),0)</f>
        <v/>
      </c>
      <c r="I44" s="38">
        <f>-IF(I42&gt;0,'2. Inputs'!I58*I42+'2. Inputs'!I59*MAX(0,I42-'2. Inputs'!I60),0)</f>
        <v/>
      </c>
      <c r="J44" s="38">
        <f>-IF(J42&gt;0,'2. Inputs'!J58*J42+'2. Inputs'!J59*MAX(0,J42-'2. Inputs'!J60),0)</f>
        <v/>
      </c>
      <c r="K44" s="38">
        <f>-IF(K42&gt;0,'2. Inputs'!K58*K42+'2. Inputs'!K59*MAX(0,K42-'2. Inputs'!K60),0)</f>
        <v/>
      </c>
      <c r="L44" s="38">
        <f>-IF(L42&gt;0,'2. Inputs'!L58*L42+'2. Inputs'!L59*MAX(0,L42-'2. Inputs'!L60),0)</f>
        <v/>
      </c>
      <c r="M44" s="38">
        <f>-IF(M42&gt;0,'2. Inputs'!M58*M42+'2. Inputs'!M59*MAX(0,M42-'2. Inputs'!M60),0)</f>
        <v/>
      </c>
      <c r="N44" s="122" t="n"/>
      <c r="O44" s="2" t="inlineStr">
        <is>
          <t>A origem não protegia lucro abaixo do limite do adicional nem prejuízo.</t>
        </is>
      </c>
    </row>
    <row r="45">
      <c r="A45" s="17" t="inlineStr">
        <is>
          <t xml:space="preserve">   (−) CSLL</t>
        </is>
      </c>
      <c r="B45" s="2" t="inlineStr">
        <is>
          <t>R$</t>
        </is>
      </c>
      <c r="C45" s="122" t="n"/>
      <c r="D45" s="38">
        <f>-IF(D42&gt;0,'2. Inputs'!D61*D42,0)</f>
        <v/>
      </c>
      <c r="E45" s="38">
        <f>-IF(E42&gt;0,'2. Inputs'!E61*E42,0)</f>
        <v/>
      </c>
      <c r="F45" s="38">
        <f>-IF(F42&gt;0,'2. Inputs'!F61*F42,0)</f>
        <v/>
      </c>
      <c r="G45" s="38">
        <f>-IF(G42&gt;0,'2. Inputs'!G61*G42,0)</f>
        <v/>
      </c>
      <c r="H45" s="38">
        <f>-IF(H42&gt;0,'2. Inputs'!H61*H42,0)</f>
        <v/>
      </c>
      <c r="I45" s="38">
        <f>-IF(I42&gt;0,'2. Inputs'!I61*I42,0)</f>
        <v/>
      </c>
      <c r="J45" s="38">
        <f>-IF(J42&gt;0,'2. Inputs'!J61*J42,0)</f>
        <v/>
      </c>
      <c r="K45" s="38">
        <f>-IF(K42&gt;0,'2. Inputs'!K61*K42,0)</f>
        <v/>
      </c>
      <c r="L45" s="38">
        <f>-IF(L42&gt;0,'2. Inputs'!L61*L42,0)</f>
        <v/>
      </c>
      <c r="M45" s="38">
        <f>-IF(M42&gt;0,'2. Inputs'!M61*M42,0)</f>
        <v/>
      </c>
      <c r="N45" s="122" t="n"/>
      <c r="O45" s="122" t="n"/>
    </row>
    <row r="46">
      <c r="A46" s="21" t="inlineStr">
        <is>
          <t>LUCRO LÍQUIDO</t>
        </is>
      </c>
      <c r="B46" s="2" t="inlineStr">
        <is>
          <t>R$</t>
        </is>
      </c>
      <c r="C46" s="122" t="n"/>
      <c r="D46" s="60">
        <f>D42+D44+D45</f>
        <v/>
      </c>
      <c r="E46" s="60">
        <f>E42+E44+E45</f>
        <v/>
      </c>
      <c r="F46" s="60">
        <f>F42+F44+F45</f>
        <v/>
      </c>
      <c r="G46" s="60">
        <f>G42+G44+G45</f>
        <v/>
      </c>
      <c r="H46" s="60">
        <f>H42+H44+H45</f>
        <v/>
      </c>
      <c r="I46" s="60">
        <f>I42+I44+I45</f>
        <v/>
      </c>
      <c r="J46" s="60">
        <f>J42+J44+J45</f>
        <v/>
      </c>
      <c r="K46" s="60">
        <f>K42+K44+K45</f>
        <v/>
      </c>
      <c r="L46" s="60">
        <f>L42+L44+L45</f>
        <v/>
      </c>
      <c r="M46" s="60">
        <f>M42+M44+M45</f>
        <v/>
      </c>
      <c r="N46" s="122" t="n"/>
      <c r="O46" s="122" t="n"/>
    </row>
    <row r="47">
      <c r="A47" s="21" t="inlineStr">
        <is>
          <t xml:space="preserve">   Margem líquida</t>
        </is>
      </c>
      <c r="B47" s="2" t="inlineStr">
        <is>
          <t>% RL</t>
        </is>
      </c>
      <c r="C47" s="122" t="n"/>
      <c r="D47" s="56">
        <f>D46/D29</f>
        <v/>
      </c>
      <c r="E47" s="56">
        <f>E46/E29</f>
        <v/>
      </c>
      <c r="F47" s="56">
        <f>F46/F29</f>
        <v/>
      </c>
      <c r="G47" s="56">
        <f>G46/G29</f>
        <v/>
      </c>
      <c r="H47" s="56">
        <f>H46/H29</f>
        <v/>
      </c>
      <c r="I47" s="56">
        <f>I46/I29</f>
        <v/>
      </c>
      <c r="J47" s="56">
        <f>J46/J29</f>
        <v/>
      </c>
      <c r="K47" s="56">
        <f>K46/K29</f>
        <v/>
      </c>
      <c r="L47" s="56">
        <f>L46/L29</f>
        <v/>
      </c>
      <c r="M47" s="56">
        <f>M46/M29</f>
        <v/>
      </c>
      <c r="N47" s="122" t="n"/>
      <c r="O47" s="122" t="n"/>
    </row>
    <row r="48">
      <c r="A48" s="2" t="inlineStr">
        <is>
          <t>Nota: não há resultado financeiro porque o projeto é 100% equity — não existe dívida em nenhuma aba da origem.</t>
        </is>
      </c>
      <c r="B48" s="122" t="n"/>
      <c r="C48" s="122" t="n"/>
      <c r="D48" s="122" t="n"/>
      <c r="E48" s="122" t="n"/>
      <c r="F48" s="122" t="n"/>
      <c r="G48" s="122" t="n"/>
      <c r="H48" s="122" t="n"/>
      <c r="I48" s="122" t="n"/>
      <c r="J48" s="122" t="n"/>
      <c r="K48" s="122" t="n"/>
      <c r="L48" s="122" t="n"/>
      <c r="M48" s="122" t="n"/>
      <c r="N48" s="122" t="n"/>
      <c r="O48" s="122" t="n"/>
    </row>
    <row r="49">
      <c r="A49" s="122" t="n"/>
      <c r="B49" s="122" t="n"/>
      <c r="C49" s="122" t="n"/>
      <c r="D49" s="122" t="n"/>
      <c r="E49" s="122" t="n"/>
      <c r="F49" s="122" t="n"/>
      <c r="G49" s="122" t="n"/>
      <c r="H49" s="122" t="n"/>
      <c r="I49" s="122" t="n"/>
      <c r="J49" s="122" t="n"/>
      <c r="K49" s="122" t="n"/>
      <c r="L49" s="122" t="n"/>
      <c r="M49" s="122" t="n"/>
      <c r="N49" s="122" t="n"/>
      <c r="O49" s="122" t="n"/>
    </row>
    <row r="50">
      <c r="A50" s="15" t="inlineStr">
        <is>
          <t>C. MEMÓRIA POR UNIDADE  (insumo da ponte de variância)</t>
        </is>
      </c>
      <c r="B50" s="126" t="n"/>
      <c r="C50" s="126" t="n"/>
      <c r="D50" s="126" t="n"/>
      <c r="E50" s="126" t="n"/>
      <c r="F50" s="126" t="n"/>
      <c r="G50" s="126" t="n"/>
      <c r="H50" s="126" t="n"/>
      <c r="I50" s="126" t="n"/>
      <c r="J50" s="126" t="n"/>
      <c r="K50" s="126" t="n"/>
      <c r="L50" s="126" t="n"/>
      <c r="M50" s="126" t="n"/>
      <c r="N50" s="122" t="n"/>
      <c r="O50" s="122" t="n"/>
    </row>
    <row r="51">
      <c r="A51" s="17" t="inlineStr">
        <is>
          <t>Preço líquido de impostos</t>
        </is>
      </c>
      <c r="B51" s="2" t="inlineStr">
        <is>
          <t>R$/un</t>
        </is>
      </c>
      <c r="C51" s="122" t="n"/>
      <c r="D51" s="48">
        <f>D29/D24</f>
        <v/>
      </c>
      <c r="E51" s="48">
        <f>E29/E24</f>
        <v/>
      </c>
      <c r="F51" s="48">
        <f>F29/F24</f>
        <v/>
      </c>
      <c r="G51" s="48">
        <f>G29/G24</f>
        <v/>
      </c>
      <c r="H51" s="48">
        <f>H29/H24</f>
        <v/>
      </c>
      <c r="I51" s="48">
        <f>I29/I24</f>
        <v/>
      </c>
      <c r="J51" s="48">
        <f>J29/J24</f>
        <v/>
      </c>
      <c r="K51" s="48">
        <f>K29/K24</f>
        <v/>
      </c>
      <c r="L51" s="48">
        <f>L29/L24</f>
        <v/>
      </c>
      <c r="M51" s="48">
        <f>M29/M24</f>
        <v/>
      </c>
      <c r="N51" s="122" t="n"/>
      <c r="O51" s="122" t="n"/>
    </row>
    <row r="52">
      <c r="A52" s="17" t="inlineStr">
        <is>
          <t>Comissão por unidade</t>
        </is>
      </c>
      <c r="B52" s="2" t="inlineStr">
        <is>
          <t>R$/un</t>
        </is>
      </c>
      <c r="C52" s="122" t="n"/>
      <c r="D52" s="48">
        <f>-D33/D24</f>
        <v/>
      </c>
      <c r="E52" s="48">
        <f>-E33/E24</f>
        <v/>
      </c>
      <c r="F52" s="48">
        <f>-F33/F24</f>
        <v/>
      </c>
      <c r="G52" s="48">
        <f>-G33/G24</f>
        <v/>
      </c>
      <c r="H52" s="48">
        <f>-H33/H24</f>
        <v/>
      </c>
      <c r="I52" s="48">
        <f>-I33/I24</f>
        <v/>
      </c>
      <c r="J52" s="48">
        <f>-J33/J24</f>
        <v/>
      </c>
      <c r="K52" s="48">
        <f>-K33/K24</f>
        <v/>
      </c>
      <c r="L52" s="48">
        <f>-L33/L24</f>
        <v/>
      </c>
      <c r="M52" s="48">
        <f>-M33/M24</f>
        <v/>
      </c>
      <c r="N52" s="122" t="n"/>
      <c r="O52" s="122" t="n"/>
    </row>
    <row r="53">
      <c r="A53" s="17" t="inlineStr">
        <is>
          <t>Custo variável unitário</t>
        </is>
      </c>
      <c r="B53" s="2" t="inlineStr">
        <is>
          <t>R$/un</t>
        </is>
      </c>
      <c r="C53" s="122" t="n"/>
      <c r="D53" s="48">
        <f>-D31/D24</f>
        <v/>
      </c>
      <c r="E53" s="48">
        <f>-E31/E24</f>
        <v/>
      </c>
      <c r="F53" s="48">
        <f>-F31/F24</f>
        <v/>
      </c>
      <c r="G53" s="48">
        <f>-G31/G24</f>
        <v/>
      </c>
      <c r="H53" s="48">
        <f>-H31/H24</f>
        <v/>
      </c>
      <c r="I53" s="48">
        <f>-I31/I24</f>
        <v/>
      </c>
      <c r="J53" s="48">
        <f>-J31/J24</f>
        <v/>
      </c>
      <c r="K53" s="48">
        <f>-K31/K24</f>
        <v/>
      </c>
      <c r="L53" s="48">
        <f>-L31/L24</f>
        <v/>
      </c>
      <c r="M53" s="48">
        <f>-M31/M24</f>
        <v/>
      </c>
      <c r="N53" s="122" t="n"/>
      <c r="O53" s="122" t="n"/>
    </row>
    <row r="54">
      <c r="A54" s="17" t="inlineStr">
        <is>
          <t>Frete unitário (mix)</t>
        </is>
      </c>
      <c r="B54" s="2" t="inlineStr">
        <is>
          <t>R$/un</t>
        </is>
      </c>
      <c r="C54" s="122" t="n"/>
      <c r="D54" s="48">
        <f>-D32/D24</f>
        <v/>
      </c>
      <c r="E54" s="48">
        <f>-E32/E24</f>
        <v/>
      </c>
      <c r="F54" s="48">
        <f>-F32/F24</f>
        <v/>
      </c>
      <c r="G54" s="48">
        <f>-G32/G24</f>
        <v/>
      </c>
      <c r="H54" s="48">
        <f>-H32/H24</f>
        <v/>
      </c>
      <c r="I54" s="48">
        <f>-I32/I24</f>
        <v/>
      </c>
      <c r="J54" s="48">
        <f>-J32/J24</f>
        <v/>
      </c>
      <c r="K54" s="48">
        <f>-K32/K24</f>
        <v/>
      </c>
      <c r="L54" s="48">
        <f>-L32/L24</f>
        <v/>
      </c>
      <c r="M54" s="48">
        <f>-M32/M24</f>
        <v/>
      </c>
      <c r="N54" s="122" t="n"/>
      <c r="O54" s="122" t="n"/>
    </row>
    <row r="55">
      <c r="A55" s="21" t="inlineStr">
        <is>
          <t>MARGEM DE CONTRIBUIÇÃO UNITÁRIA</t>
        </is>
      </c>
      <c r="B55" s="2" t="inlineStr">
        <is>
          <t>R$/un</t>
        </is>
      </c>
      <c r="C55" s="122" t="n"/>
      <c r="D55" s="34">
        <f>D51-D52-D53-D54</f>
        <v/>
      </c>
      <c r="E55" s="34">
        <f>E51-E52-E53-E54</f>
        <v/>
      </c>
      <c r="F55" s="34">
        <f>F51-F52-F53-F54</f>
        <v/>
      </c>
      <c r="G55" s="34">
        <f>G51-G52-G53-G54</f>
        <v/>
      </c>
      <c r="H55" s="34">
        <f>H51-H52-H53-H54</f>
        <v/>
      </c>
      <c r="I55" s="34">
        <f>I51-I52-I53-I54</f>
        <v/>
      </c>
      <c r="J55" s="34">
        <f>J51-J52-J53-J54</f>
        <v/>
      </c>
      <c r="K55" s="34">
        <f>K51-K52-K53-K54</f>
        <v/>
      </c>
      <c r="L55" s="34">
        <f>L51-L52-L53-L54</f>
        <v/>
      </c>
      <c r="M55" s="34">
        <f>M51-M52-M53-M54</f>
        <v/>
      </c>
      <c r="N55" s="122" t="n"/>
      <c r="O55" s="122" t="n"/>
    </row>
    <row r="56">
      <c r="A56" s="17" t="inlineStr">
        <is>
          <t>Custo fixo total (caixa)</t>
        </is>
      </c>
      <c r="B56" s="2" t="inlineStr">
        <is>
          <t>R$</t>
        </is>
      </c>
      <c r="C56" s="122" t="n"/>
      <c r="D56" s="38">
        <f>-(D36+D37+D38)</f>
        <v/>
      </c>
      <c r="E56" s="38">
        <f>-(E36+E37+E38)</f>
        <v/>
      </c>
      <c r="F56" s="38">
        <f>-(F36+F37+F38)</f>
        <v/>
      </c>
      <c r="G56" s="38">
        <f>-(G36+G37+G38)</f>
        <v/>
      </c>
      <c r="H56" s="38">
        <f>-(H36+H37+H38)</f>
        <v/>
      </c>
      <c r="I56" s="38">
        <f>-(I36+I37+I38)</f>
        <v/>
      </c>
      <c r="J56" s="38">
        <f>-(J36+J37+J38)</f>
        <v/>
      </c>
      <c r="K56" s="38">
        <f>-(K36+K37+K38)</f>
        <v/>
      </c>
      <c r="L56" s="38">
        <f>-(L36+L37+L38)</f>
        <v/>
      </c>
      <c r="M56" s="38">
        <f>-(M36+M37+M38)</f>
        <v/>
      </c>
      <c r="N56" s="122" t="n"/>
      <c r="O56" s="122" t="n"/>
    </row>
    <row r="57">
      <c r="A57" s="17" t="inlineStr">
        <is>
          <t>EBITDA por unidade</t>
        </is>
      </c>
      <c r="B57" s="2" t="inlineStr">
        <is>
          <t>R$/un</t>
        </is>
      </c>
      <c r="C57" s="122" t="n"/>
      <c r="D57" s="48">
        <f>D39/D24</f>
        <v/>
      </c>
      <c r="E57" s="48">
        <f>E39/E24</f>
        <v/>
      </c>
      <c r="F57" s="48">
        <f>F39/F24</f>
        <v/>
      </c>
      <c r="G57" s="48">
        <f>G39/G24</f>
        <v/>
      </c>
      <c r="H57" s="48">
        <f>H39/H24</f>
        <v/>
      </c>
      <c r="I57" s="48">
        <f>I39/I24</f>
        <v/>
      </c>
      <c r="J57" s="48">
        <f>J39/J24</f>
        <v/>
      </c>
      <c r="K57" s="48">
        <f>K39/K24</f>
        <v/>
      </c>
      <c r="L57" s="48">
        <f>L39/L24</f>
        <v/>
      </c>
      <c r="M57" s="48">
        <f>M39/M24</f>
        <v/>
      </c>
      <c r="N57" s="122" t="n"/>
      <c r="O57" s="122" t="n"/>
    </row>
    <row r="58">
      <c r="A58" s="17" t="inlineStr">
        <is>
          <t>Alíquota efetiva sobre o EBIT</t>
        </is>
      </c>
      <c r="B58" s="2" t="inlineStr">
        <is>
          <t>%</t>
        </is>
      </c>
      <c r="C58" s="122" t="n"/>
      <c r="D58" s="20">
        <f>IFERROR(-(D44+D45)/D42,0)</f>
        <v/>
      </c>
      <c r="E58" s="20">
        <f>IFERROR(-(E44+E45)/E42,0)</f>
        <v/>
      </c>
      <c r="F58" s="20">
        <f>IFERROR(-(F44+F45)/F42,0)</f>
        <v/>
      </c>
      <c r="G58" s="20">
        <f>IFERROR(-(G44+G45)/G42,0)</f>
        <v/>
      </c>
      <c r="H58" s="20">
        <f>IFERROR(-(H44+H45)/H42,0)</f>
        <v/>
      </c>
      <c r="I58" s="20">
        <f>IFERROR(-(I44+I45)/I42,0)</f>
        <v/>
      </c>
      <c r="J58" s="20">
        <f>IFERROR(-(J44+J45)/J42,0)</f>
        <v/>
      </c>
      <c r="K58" s="20">
        <f>IFERROR(-(K44+K45)/K42,0)</f>
        <v/>
      </c>
      <c r="L58" s="20">
        <f>IFERROR(-(L44+L45)/L42,0)</f>
        <v/>
      </c>
      <c r="M58" s="20">
        <f>IFERROR(-(M44+M45)/M42,0)</f>
        <v/>
      </c>
      <c r="N58" s="122" t="n"/>
      <c r="O58" s="1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O34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5" max="15"/>
  </cols>
  <sheetData>
    <row r="1">
      <c r="A1" s="1" t="inlineStr">
        <is>
          <t>FLUXO DE CAIXA LIVRE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</row>
    <row r="2">
      <c r="A2" s="2" t="inlineStr">
        <is>
          <t>Capital de giro reconstruído sobre prazos declarados; CAPEX corrigido; depreciação da aba 3. Não há dívida, logo o FCL é também o fluxo do acionista.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2" t="n"/>
      <c r="O3" s="122" t="n"/>
    </row>
    <row r="4">
      <c r="A4" s="122" t="n"/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</row>
    <row r="5">
      <c r="A5" s="122" t="n"/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</row>
    <row r="6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2" t="n"/>
      <c r="O6" s="122" t="n"/>
    </row>
    <row r="7">
      <c r="A7" s="10" t="inlineStr">
        <is>
          <t>Ano</t>
        </is>
      </c>
      <c r="B7" s="122" t="n"/>
      <c r="C7" s="11" t="n">
        <v>0</v>
      </c>
      <c r="D7" s="11" t="n">
        <v>1</v>
      </c>
      <c r="E7" s="11" t="n">
        <v>2</v>
      </c>
      <c r="F7" s="11" t="n">
        <v>3</v>
      </c>
      <c r="G7" s="11" t="n">
        <v>4</v>
      </c>
      <c r="H7" s="11" t="n">
        <v>5</v>
      </c>
      <c r="I7" s="11" t="n">
        <v>6</v>
      </c>
      <c r="J7" s="11" t="n">
        <v>7</v>
      </c>
      <c r="K7" s="11" t="n">
        <v>8</v>
      </c>
      <c r="L7" s="11" t="n">
        <v>9</v>
      </c>
      <c r="M7" s="11" t="n">
        <v>10</v>
      </c>
      <c r="N7" s="122" t="n"/>
      <c r="O7" s="3" t="inlineStr">
        <is>
          <t>Observação</t>
        </is>
      </c>
    </row>
    <row r="8">
      <c r="A8" s="12" t="inlineStr">
        <is>
          <t>Exercício</t>
        </is>
      </c>
      <c r="B8" s="125" t="n"/>
      <c r="C8" s="14" t="inlineStr">
        <is>
          <t>2023</t>
        </is>
      </c>
      <c r="D8" s="14" t="inlineStr">
        <is>
          <t>2024</t>
        </is>
      </c>
      <c r="E8" s="14" t="inlineStr">
        <is>
          <t>2025</t>
        </is>
      </c>
      <c r="F8" s="14" t="inlineStr">
        <is>
          <t>2026</t>
        </is>
      </c>
      <c r="G8" s="14" t="inlineStr">
        <is>
          <t>2027</t>
        </is>
      </c>
      <c r="H8" s="14" t="inlineStr">
        <is>
          <t>2028</t>
        </is>
      </c>
      <c r="I8" s="14" t="inlineStr">
        <is>
          <t>2029</t>
        </is>
      </c>
      <c r="J8" s="14" t="inlineStr">
        <is>
          <t>2030</t>
        </is>
      </c>
      <c r="K8" s="14" t="inlineStr">
        <is>
          <t>2031</t>
        </is>
      </c>
      <c r="L8" s="14" t="inlineStr">
        <is>
          <t>2032</t>
        </is>
      </c>
      <c r="M8" s="14" t="inlineStr">
        <is>
          <t>2033</t>
        </is>
      </c>
      <c r="N8" s="122" t="n"/>
      <c r="O8" s="122" t="n"/>
    </row>
    <row r="9">
      <c r="A9" s="122" t="n"/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</row>
    <row r="10">
      <c r="A10" s="15" t="inlineStr">
        <is>
          <t>A. CAPITAL DE GIRO</t>
        </is>
      </c>
      <c r="B10" s="126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2" t="n"/>
      <c r="O10" s="122" t="n"/>
    </row>
    <row r="11">
      <c r="A11" s="17" t="inlineStr">
        <is>
          <t>Contas a receber</t>
        </is>
      </c>
      <c r="B11" s="2" t="inlineStr">
        <is>
          <t>R$</t>
        </is>
      </c>
      <c r="C11" s="122" t="n"/>
      <c r="D11" s="38">
        <f>'2. Inputs'!D64/'2. Inputs'!D68*'4. DRE'!D26</f>
        <v/>
      </c>
      <c r="E11" s="38">
        <f>'2. Inputs'!E64/'2. Inputs'!E68*'4. DRE'!E26</f>
        <v/>
      </c>
      <c r="F11" s="38">
        <f>'2. Inputs'!F64/'2. Inputs'!F68*'4. DRE'!F26</f>
        <v/>
      </c>
      <c r="G11" s="38">
        <f>'2. Inputs'!G64/'2. Inputs'!G68*'4. DRE'!G26</f>
        <v/>
      </c>
      <c r="H11" s="38">
        <f>'2. Inputs'!H64/'2. Inputs'!H68*'4. DRE'!H26</f>
        <v/>
      </c>
      <c r="I11" s="38">
        <f>'2. Inputs'!I64/'2. Inputs'!I68*'4. DRE'!I26</f>
        <v/>
      </c>
      <c r="J11" s="38">
        <f>'2. Inputs'!J64/'2. Inputs'!J68*'4. DRE'!J26</f>
        <v/>
      </c>
      <c r="K11" s="38">
        <f>'2. Inputs'!K64/'2. Inputs'!K68*'4. DRE'!K26</f>
        <v/>
      </c>
      <c r="L11" s="38">
        <f>'2. Inputs'!L64/'2. Inputs'!L68*'4. DRE'!L26</f>
        <v/>
      </c>
      <c r="M11" s="38">
        <f>'2. Inputs'!M64/'2. Inputs'!M68*'4. DRE'!M26</f>
        <v/>
      </c>
      <c r="N11" s="122" t="n"/>
      <c r="O11" s="2" t="inlineStr">
        <is>
          <t>PMR x receita bruta / 360.</t>
        </is>
      </c>
    </row>
    <row r="12">
      <c r="A12" s="17" t="inlineStr">
        <is>
          <t>Estoques</t>
        </is>
      </c>
      <c r="B12" s="2" t="inlineStr">
        <is>
          <t>R$</t>
        </is>
      </c>
      <c r="C12" s="122" t="n"/>
      <c r="D12" s="38">
        <f>'2. Inputs'!D65/'2. Inputs'!D68*(-'4. DRE'!D31-'4. DRE'!D32)</f>
        <v/>
      </c>
      <c r="E12" s="38">
        <f>'2. Inputs'!E65/'2. Inputs'!E68*(-'4. DRE'!E31-'4. DRE'!E32)</f>
        <v/>
      </c>
      <c r="F12" s="38">
        <f>'2. Inputs'!F65/'2. Inputs'!F68*(-'4. DRE'!F31-'4. DRE'!F32)</f>
        <v/>
      </c>
      <c r="G12" s="38">
        <f>'2. Inputs'!G65/'2. Inputs'!G68*(-'4. DRE'!G31-'4. DRE'!G32)</f>
        <v/>
      </c>
      <c r="H12" s="38">
        <f>'2. Inputs'!H65/'2. Inputs'!H68*(-'4. DRE'!H31-'4. DRE'!H32)</f>
        <v/>
      </c>
      <c r="I12" s="38">
        <f>'2. Inputs'!I65/'2. Inputs'!I68*(-'4. DRE'!I31-'4. DRE'!I32)</f>
        <v/>
      </c>
      <c r="J12" s="38">
        <f>'2. Inputs'!J65/'2. Inputs'!J68*(-'4. DRE'!J31-'4. DRE'!J32)</f>
        <v/>
      </c>
      <c r="K12" s="38">
        <f>'2. Inputs'!K65/'2. Inputs'!K68*(-'4. DRE'!K31-'4. DRE'!K32)</f>
        <v/>
      </c>
      <c r="L12" s="38">
        <f>'2. Inputs'!L65/'2. Inputs'!L68*(-'4. DRE'!L31-'4. DRE'!L32)</f>
        <v/>
      </c>
      <c r="M12" s="38">
        <f>'2. Inputs'!M65/'2. Inputs'!M68*(-'4. DRE'!M31-'4. DRE'!M32)</f>
        <v/>
      </c>
      <c r="N12" s="122" t="n"/>
      <c r="O12" s="2" t="inlineStr">
        <is>
          <t>Giro de estoque x (custo variável + frete) / 360.</t>
        </is>
      </c>
    </row>
    <row r="13">
      <c r="A13" s="17" t="inlineStr">
        <is>
          <t>Caixa mínimo</t>
        </is>
      </c>
      <c r="B13" s="2" t="inlineStr">
        <is>
          <t>R$</t>
        </is>
      </c>
      <c r="C13" s="122" t="n"/>
      <c r="D13" s="38">
        <f>'2. Inputs'!D67/'2. Inputs'!D68*(-'4. DRE'!D31-'4. DRE'!D32-'4. DRE'!D33-'4. DRE'!D36-'4. DRE'!D37-'4. DRE'!D38)</f>
        <v/>
      </c>
      <c r="E13" s="38">
        <f>'2. Inputs'!E67/'2. Inputs'!E68*(-'4. DRE'!E31-'4. DRE'!E32-'4. DRE'!E33-'4. DRE'!E36-'4. DRE'!E37-'4. DRE'!E38)</f>
        <v/>
      </c>
      <c r="F13" s="38">
        <f>'2. Inputs'!F67/'2. Inputs'!F68*(-'4. DRE'!F31-'4. DRE'!F32-'4. DRE'!F33-'4. DRE'!F36-'4. DRE'!F37-'4. DRE'!F38)</f>
        <v/>
      </c>
      <c r="G13" s="38">
        <f>'2. Inputs'!G67/'2. Inputs'!G68*(-'4. DRE'!G31-'4. DRE'!G32-'4. DRE'!G33-'4. DRE'!G36-'4. DRE'!G37-'4. DRE'!G38)</f>
        <v/>
      </c>
      <c r="H13" s="38">
        <f>'2. Inputs'!H67/'2. Inputs'!H68*(-'4. DRE'!H31-'4. DRE'!H32-'4. DRE'!H33-'4. DRE'!H36-'4. DRE'!H37-'4. DRE'!H38)</f>
        <v/>
      </c>
      <c r="I13" s="38">
        <f>'2. Inputs'!I67/'2. Inputs'!I68*(-'4. DRE'!I31-'4. DRE'!I32-'4. DRE'!I33-'4. DRE'!I36-'4. DRE'!I37-'4. DRE'!I38)</f>
        <v/>
      </c>
      <c r="J13" s="38">
        <f>'2. Inputs'!J67/'2. Inputs'!J68*(-'4. DRE'!J31-'4. DRE'!J32-'4. DRE'!J33-'4. DRE'!J36-'4. DRE'!J37-'4. DRE'!J38)</f>
        <v/>
      </c>
      <c r="K13" s="38">
        <f>'2. Inputs'!K67/'2. Inputs'!K68*(-'4. DRE'!K31-'4. DRE'!K32-'4. DRE'!K33-'4. DRE'!K36-'4. DRE'!K37-'4. DRE'!K38)</f>
        <v/>
      </c>
      <c r="L13" s="38">
        <f>'2. Inputs'!L67/'2. Inputs'!L68*(-'4. DRE'!L31-'4. DRE'!L32-'4. DRE'!L33-'4. DRE'!L36-'4. DRE'!L37-'4. DRE'!L38)</f>
        <v/>
      </c>
      <c r="M13" s="38">
        <f>'2. Inputs'!M67/'2. Inputs'!M68*(-'4. DRE'!M31-'4. DRE'!M32-'4. DRE'!M33-'4. DRE'!M36-'4. DRE'!M37-'4. DRE'!M38)</f>
        <v/>
      </c>
      <c r="N13" s="122" t="n"/>
      <c r="O13" s="2" t="inlineStr">
        <is>
          <t>Dias x custo CAIXA total / 360. A origem usava o custo total, com depreciação dentro — depreciação não exige caixa.</t>
        </is>
      </c>
    </row>
    <row r="14">
      <c r="A14" s="17" t="inlineStr">
        <is>
          <t>(−) Fornecedores</t>
        </is>
      </c>
      <c r="B14" s="2" t="inlineStr">
        <is>
          <t>R$</t>
        </is>
      </c>
      <c r="C14" s="122" t="n"/>
      <c r="D14" s="38">
        <f>-'2. Inputs'!D66/'2. Inputs'!D68*(-'4. DRE'!D31-'4. DRE'!D32)</f>
        <v/>
      </c>
      <c r="E14" s="38">
        <f>-'2. Inputs'!E66/'2. Inputs'!E68*(-'4. DRE'!E31-'4. DRE'!E32)</f>
        <v/>
      </c>
      <c r="F14" s="38">
        <f>-'2. Inputs'!F66/'2. Inputs'!F68*(-'4. DRE'!F31-'4. DRE'!F32)</f>
        <v/>
      </c>
      <c r="G14" s="38">
        <f>-'2. Inputs'!G66/'2. Inputs'!G68*(-'4. DRE'!G31-'4. DRE'!G32)</f>
        <v/>
      </c>
      <c r="H14" s="38">
        <f>-'2. Inputs'!H66/'2. Inputs'!H68*(-'4. DRE'!H31-'4. DRE'!H32)</f>
        <v/>
      </c>
      <c r="I14" s="38">
        <f>-'2. Inputs'!I66/'2. Inputs'!I68*(-'4. DRE'!I31-'4. DRE'!I32)</f>
        <v/>
      </c>
      <c r="J14" s="38">
        <f>-'2. Inputs'!J66/'2. Inputs'!J68*(-'4. DRE'!J31-'4. DRE'!J32)</f>
        <v/>
      </c>
      <c r="K14" s="38">
        <f>-'2. Inputs'!K66/'2. Inputs'!K68*(-'4. DRE'!K31-'4. DRE'!K32)</f>
        <v/>
      </c>
      <c r="L14" s="38">
        <f>-'2. Inputs'!L66/'2. Inputs'!L68*(-'4. DRE'!L31-'4. DRE'!L32)</f>
        <v/>
      </c>
      <c r="M14" s="38">
        <f>-'2. Inputs'!M66/'2. Inputs'!M68*(-'4. DRE'!M31-'4. DRE'!M32)</f>
        <v/>
      </c>
      <c r="N14" s="122" t="n"/>
      <c r="O14" s="2" t="inlineStr">
        <is>
          <t>PMP x (custo variável + frete) / 360. Na origem a rotação do leite no ano 2 estava 260 em vez de 12 (A-03).</t>
        </is>
      </c>
    </row>
    <row r="15">
      <c r="A15" s="21" t="inlineStr">
        <is>
          <t>NECESSIDADE DE CAPITAL DE GIRO</t>
        </is>
      </c>
      <c r="B15" s="2" t="inlineStr">
        <is>
          <t>R$</t>
        </is>
      </c>
      <c r="C15" s="51">
        <f>D15</f>
        <v/>
      </c>
      <c r="D15" s="51">
        <f>SUM(D11:D14)</f>
        <v/>
      </c>
      <c r="E15" s="51">
        <f>SUM(E11:E14)</f>
        <v/>
      </c>
      <c r="F15" s="51">
        <f>SUM(F11:F14)</f>
        <v/>
      </c>
      <c r="G15" s="51">
        <f>SUM(G11:G14)</f>
        <v/>
      </c>
      <c r="H15" s="51">
        <f>SUM(H11:H14)</f>
        <v/>
      </c>
      <c r="I15" s="51">
        <f>SUM(I11:I14)</f>
        <v/>
      </c>
      <c r="J15" s="51">
        <f>SUM(J11:J14)</f>
        <v/>
      </c>
      <c r="K15" s="51">
        <f>SUM(K11:K14)</f>
        <v/>
      </c>
      <c r="L15" s="51">
        <f>SUM(L11:L14)</f>
        <v/>
      </c>
      <c r="M15" s="51">
        <f>SUM(M11:M14)</f>
        <v/>
      </c>
      <c r="N15" s="122" t="n"/>
      <c r="O15" s="2" t="inlineStr">
        <is>
          <t>Ano 0 = necessidade do ano 1: o giro é financiado antes de operar.</t>
        </is>
      </c>
    </row>
    <row r="16">
      <c r="A16" s="17" t="inlineStr">
        <is>
          <t>Δ capital de giro</t>
        </is>
      </c>
      <c r="B16" s="2" t="inlineStr">
        <is>
          <t>R$</t>
        </is>
      </c>
      <c r="C16" s="38">
        <f>C15</f>
        <v/>
      </c>
      <c r="D16" s="38">
        <f>D15-C15</f>
        <v/>
      </c>
      <c r="E16" s="38">
        <f>E15-D15</f>
        <v/>
      </c>
      <c r="F16" s="38">
        <f>F15-E15</f>
        <v/>
      </c>
      <c r="G16" s="38">
        <f>G15-F15</f>
        <v/>
      </c>
      <c r="H16" s="38">
        <f>H15-G15</f>
        <v/>
      </c>
      <c r="I16" s="38">
        <f>I15-H15</f>
        <v/>
      </c>
      <c r="J16" s="38">
        <f>J15-I15</f>
        <v/>
      </c>
      <c r="K16" s="38">
        <f>K15-J15</f>
        <v/>
      </c>
      <c r="L16" s="38">
        <f>L15-K15</f>
        <v/>
      </c>
      <c r="M16" s="38">
        <f>M15-L15</f>
        <v/>
      </c>
      <c r="N16" s="122" t="n"/>
      <c r="O16" s="122" t="n"/>
    </row>
    <row r="17">
      <c r="A17" s="17" t="inlineStr">
        <is>
          <t xml:space="preserve">   Capital de giro sobre receita bruta</t>
        </is>
      </c>
      <c r="B17" s="2" t="inlineStr">
        <is>
          <t>% RB</t>
        </is>
      </c>
      <c r="C17" s="122" t="n"/>
      <c r="D17" s="55">
        <f>IFERROR(D15/'4. DRE'!D26,"")</f>
        <v/>
      </c>
      <c r="E17" s="55">
        <f>IFERROR(E15/'4. DRE'!E26,"")</f>
        <v/>
      </c>
      <c r="F17" s="55">
        <f>IFERROR(F15/'4. DRE'!F26,"")</f>
        <v/>
      </c>
      <c r="G17" s="55">
        <f>IFERROR(G15/'4. DRE'!G26,"")</f>
        <v/>
      </c>
      <c r="H17" s="55">
        <f>IFERROR(H15/'4. DRE'!H26,"")</f>
        <v/>
      </c>
      <c r="I17" s="55">
        <f>IFERROR(I15/'4. DRE'!I26,"")</f>
        <v/>
      </c>
      <c r="J17" s="55">
        <f>IFERROR(J15/'4. DRE'!J26,"")</f>
        <v/>
      </c>
      <c r="K17" s="55">
        <f>IFERROR(K15/'4. DRE'!K26,"")</f>
        <v/>
      </c>
      <c r="L17" s="55">
        <f>IFERROR(L15/'4. DRE'!L26,"")</f>
        <v/>
      </c>
      <c r="M17" s="55">
        <f>IFERROR(M15/'4. DRE'!M26,"")</f>
        <v/>
      </c>
      <c r="N17" s="122" t="n"/>
      <c r="O17" s="122" t="n"/>
    </row>
    <row r="18">
      <c r="A18" s="122" t="n"/>
      <c r="B18" s="122" t="n"/>
      <c r="C18" s="122" t="n"/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122" t="n"/>
    </row>
    <row r="19">
      <c r="A19" s="15" t="inlineStr">
        <is>
          <t>B. FLUXO DE CAIXA LIVRE</t>
        </is>
      </c>
      <c r="B19" s="126" t="n"/>
      <c r="C19" s="126" t="n"/>
      <c r="D19" s="126" t="n"/>
      <c r="E19" s="126" t="n"/>
      <c r="F19" s="126" t="n"/>
      <c r="G19" s="126" t="n"/>
      <c r="H19" s="126" t="n"/>
      <c r="I19" s="126" t="n"/>
      <c r="J19" s="126" t="n"/>
      <c r="K19" s="126" t="n"/>
      <c r="L19" s="126" t="n"/>
      <c r="M19" s="126" t="n"/>
      <c r="N19" s="122" t="n"/>
      <c r="O19" s="122" t="n"/>
    </row>
    <row r="20">
      <c r="A20" s="17" t="inlineStr">
        <is>
          <t>EBIT</t>
        </is>
      </c>
      <c r="B20" s="2" t="inlineStr">
        <is>
          <t>R$</t>
        </is>
      </c>
      <c r="C20" s="122" t="n"/>
      <c r="D20" s="18">
        <f>'4. DRE'!D42</f>
        <v/>
      </c>
      <c r="E20" s="18">
        <f>'4. DRE'!E42</f>
        <v/>
      </c>
      <c r="F20" s="18">
        <f>'4. DRE'!F42</f>
        <v/>
      </c>
      <c r="G20" s="18">
        <f>'4. DRE'!G42</f>
        <v/>
      </c>
      <c r="H20" s="18">
        <f>'4. DRE'!H42</f>
        <v/>
      </c>
      <c r="I20" s="18">
        <f>'4. DRE'!I42</f>
        <v/>
      </c>
      <c r="J20" s="18">
        <f>'4. DRE'!J42</f>
        <v/>
      </c>
      <c r="K20" s="18">
        <f>'4. DRE'!K42</f>
        <v/>
      </c>
      <c r="L20" s="18">
        <f>'4. DRE'!L42</f>
        <v/>
      </c>
      <c r="M20" s="18">
        <f>'4. DRE'!M42</f>
        <v/>
      </c>
      <c r="N20" s="122" t="n"/>
      <c r="O20" s="122" t="n"/>
    </row>
    <row r="21">
      <c r="A21" s="17" t="inlineStr">
        <is>
          <t xml:space="preserve">   (−) IRPJ + adicional</t>
        </is>
      </c>
      <c r="B21" s="2" t="inlineStr">
        <is>
          <t>R$</t>
        </is>
      </c>
      <c r="C21" s="122" t="n"/>
      <c r="D21" s="18">
        <f>'4. DRE'!D44</f>
        <v/>
      </c>
      <c r="E21" s="18">
        <f>'4. DRE'!E44</f>
        <v/>
      </c>
      <c r="F21" s="18">
        <f>'4. DRE'!F44</f>
        <v/>
      </c>
      <c r="G21" s="18">
        <f>'4. DRE'!G44</f>
        <v/>
      </c>
      <c r="H21" s="18">
        <f>'4. DRE'!H44</f>
        <v/>
      </c>
      <c r="I21" s="18">
        <f>'4. DRE'!I44</f>
        <v/>
      </c>
      <c r="J21" s="18">
        <f>'4. DRE'!J44</f>
        <v/>
      </c>
      <c r="K21" s="18">
        <f>'4. DRE'!K44</f>
        <v/>
      </c>
      <c r="L21" s="18">
        <f>'4. DRE'!L44</f>
        <v/>
      </c>
      <c r="M21" s="18">
        <f>'4. DRE'!M44</f>
        <v/>
      </c>
      <c r="N21" s="122" t="n"/>
      <c r="O21" s="122" t="n"/>
    </row>
    <row r="22">
      <c r="A22" s="17" t="inlineStr">
        <is>
          <t xml:space="preserve">   (−) CSLL</t>
        </is>
      </c>
      <c r="B22" s="2" t="inlineStr">
        <is>
          <t>R$</t>
        </is>
      </c>
      <c r="C22" s="122" t="n"/>
      <c r="D22" s="18">
        <f>'4. DRE'!D45</f>
        <v/>
      </c>
      <c r="E22" s="18">
        <f>'4. DRE'!E45</f>
        <v/>
      </c>
      <c r="F22" s="18">
        <f>'4. DRE'!F45</f>
        <v/>
      </c>
      <c r="G22" s="18">
        <f>'4. DRE'!G45</f>
        <v/>
      </c>
      <c r="H22" s="18">
        <f>'4. DRE'!H45</f>
        <v/>
      </c>
      <c r="I22" s="18">
        <f>'4. DRE'!I45</f>
        <v/>
      </c>
      <c r="J22" s="18">
        <f>'4. DRE'!J45</f>
        <v/>
      </c>
      <c r="K22" s="18">
        <f>'4. DRE'!K45</f>
        <v/>
      </c>
      <c r="L22" s="18">
        <f>'4. DRE'!L45</f>
        <v/>
      </c>
      <c r="M22" s="18">
        <f>'4. DRE'!M45</f>
        <v/>
      </c>
      <c r="N22" s="122" t="n"/>
      <c r="O22" s="122" t="n"/>
    </row>
    <row r="23">
      <c r="A23" s="21" t="inlineStr">
        <is>
          <t>NOPAT</t>
        </is>
      </c>
      <c r="B23" s="2" t="inlineStr">
        <is>
          <t>R$</t>
        </is>
      </c>
      <c r="C23" s="122" t="n"/>
      <c r="D23" s="51">
        <f>SUM(D20:D22)</f>
        <v/>
      </c>
      <c r="E23" s="51">
        <f>SUM(E20:E22)</f>
        <v/>
      </c>
      <c r="F23" s="51">
        <f>SUM(F20:F22)</f>
        <v/>
      </c>
      <c r="G23" s="51">
        <f>SUM(G20:G22)</f>
        <v/>
      </c>
      <c r="H23" s="51">
        <f>SUM(H20:H22)</f>
        <v/>
      </c>
      <c r="I23" s="51">
        <f>SUM(I20:I22)</f>
        <v/>
      </c>
      <c r="J23" s="51">
        <f>SUM(J20:J22)</f>
        <v/>
      </c>
      <c r="K23" s="51">
        <f>SUM(K20:K22)</f>
        <v/>
      </c>
      <c r="L23" s="51">
        <f>SUM(L20:L22)</f>
        <v/>
      </c>
      <c r="M23" s="51">
        <f>SUM(M20:M22)</f>
        <v/>
      </c>
      <c r="N23" s="122" t="n"/>
      <c r="O23" s="2" t="inlineStr">
        <is>
          <t>Lucro operacional após imposto. Sem dívida, NOPAT = lucro líquido.</t>
        </is>
      </c>
    </row>
    <row r="24">
      <c r="A24" s="17" t="inlineStr">
        <is>
          <t xml:space="preserve">   (+) Depreciação</t>
        </is>
      </c>
      <c r="B24" s="2" t="inlineStr">
        <is>
          <t>R$</t>
        </is>
      </c>
      <c r="C24" s="122" t="n"/>
      <c r="D24" s="18">
        <f>'3. Depreciacao'!D31</f>
        <v/>
      </c>
      <c r="E24" s="18">
        <f>'3. Depreciacao'!E31</f>
        <v/>
      </c>
      <c r="F24" s="18">
        <f>'3. Depreciacao'!F31</f>
        <v/>
      </c>
      <c r="G24" s="18">
        <f>'3. Depreciacao'!G31</f>
        <v/>
      </c>
      <c r="H24" s="18">
        <f>'3. Depreciacao'!H31</f>
        <v/>
      </c>
      <c r="I24" s="18">
        <f>'3. Depreciacao'!I31</f>
        <v/>
      </c>
      <c r="J24" s="18">
        <f>'3. Depreciacao'!J31</f>
        <v/>
      </c>
      <c r="K24" s="18">
        <f>'3. Depreciacao'!K31</f>
        <v/>
      </c>
      <c r="L24" s="18">
        <f>'3. Depreciacao'!L31</f>
        <v/>
      </c>
      <c r="M24" s="18">
        <f>'3. Depreciacao'!M31</f>
        <v/>
      </c>
      <c r="N24" s="122" t="n"/>
      <c r="O24" s="2" t="inlineStr">
        <is>
          <t>Despesa sem caixa: sai do lucro e volta aqui.</t>
        </is>
      </c>
    </row>
    <row r="25">
      <c r="A25" s="17" t="inlineStr">
        <is>
          <t xml:space="preserve">   (−) Δ capital de giro</t>
        </is>
      </c>
      <c r="B25" s="2" t="inlineStr">
        <is>
          <t>R$</t>
        </is>
      </c>
      <c r="C25" s="38">
        <f>-C16</f>
        <v/>
      </c>
      <c r="D25" s="38">
        <f>-D16</f>
        <v/>
      </c>
      <c r="E25" s="38">
        <f>-E16</f>
        <v/>
      </c>
      <c r="F25" s="38">
        <f>-F16</f>
        <v/>
      </c>
      <c r="G25" s="38">
        <f>-G16</f>
        <v/>
      </c>
      <c r="H25" s="38">
        <f>-H16</f>
        <v/>
      </c>
      <c r="I25" s="38">
        <f>-I16</f>
        <v/>
      </c>
      <c r="J25" s="38">
        <f>-J16</f>
        <v/>
      </c>
      <c r="K25" s="38">
        <f>-K16</f>
        <v/>
      </c>
      <c r="L25" s="38">
        <f>-L16</f>
        <v/>
      </c>
      <c r="M25" s="38">
        <f>-M16</f>
        <v/>
      </c>
      <c r="N25" s="122" t="n"/>
      <c r="O25" s="122" t="n"/>
    </row>
    <row r="26">
      <c r="A26" s="17" t="inlineStr">
        <is>
          <t xml:space="preserve">   (−) CAPEX</t>
        </is>
      </c>
      <c r="B26" s="2" t="inlineStr">
        <is>
          <t>R$</t>
        </is>
      </c>
      <c r="C26" s="18">
        <f>-'2. Inputs'!C53</f>
        <v/>
      </c>
      <c r="D26" s="18">
        <f>-'2. Inputs'!D53</f>
        <v/>
      </c>
      <c r="E26" s="18">
        <f>-'2. Inputs'!E53</f>
        <v/>
      </c>
      <c r="F26" s="18">
        <f>-'2. Inputs'!F53</f>
        <v/>
      </c>
      <c r="G26" s="18">
        <f>-'2. Inputs'!G53</f>
        <v/>
      </c>
      <c r="H26" s="18">
        <f>-'2. Inputs'!H53</f>
        <v/>
      </c>
      <c r="I26" s="18">
        <f>-'2. Inputs'!I53</f>
        <v/>
      </c>
      <c r="J26" s="18">
        <f>-'2. Inputs'!J53</f>
        <v/>
      </c>
      <c r="K26" s="18">
        <f>-'2. Inputs'!K53</f>
        <v/>
      </c>
      <c r="L26" s="18">
        <f>-'2. Inputs'!L53</f>
        <v/>
      </c>
      <c r="M26" s="18">
        <f>-'2. Inputs'!M53</f>
        <v/>
      </c>
      <c r="N26" s="122" t="n"/>
      <c r="O26" s="122" t="n"/>
    </row>
    <row r="27">
      <c r="A27" s="17" t="inlineStr">
        <is>
          <t xml:space="preserve">   (+) Recuperação do capital de giro</t>
        </is>
      </c>
      <c r="B27" s="2" t="inlineStr">
        <is>
          <t>R$</t>
        </is>
      </c>
      <c r="C27" s="38">
        <f>IF(C$7=10,C15,0)</f>
        <v/>
      </c>
      <c r="D27" s="38">
        <f>IF(D$7=10,D15,0)</f>
        <v/>
      </c>
      <c r="E27" s="38">
        <f>IF(E$7=10,E15,0)</f>
        <v/>
      </c>
      <c r="F27" s="38">
        <f>IF(F$7=10,F15,0)</f>
        <v/>
      </c>
      <c r="G27" s="38">
        <f>IF(G$7=10,G15,0)</f>
        <v/>
      </c>
      <c r="H27" s="38">
        <f>IF(H$7=10,H15,0)</f>
        <v/>
      </c>
      <c r="I27" s="38">
        <f>IF(I$7=10,I15,0)</f>
        <v/>
      </c>
      <c r="J27" s="38">
        <f>IF(J$7=10,J15,0)</f>
        <v/>
      </c>
      <c r="K27" s="38">
        <f>IF(K$7=10,K15,0)</f>
        <v/>
      </c>
      <c r="L27" s="38">
        <f>IF(L$7=10,L15,0)</f>
        <v/>
      </c>
      <c r="M27" s="38">
        <f>IF(M$7=10,M15,0)</f>
        <v/>
      </c>
      <c r="N27" s="122" t="n"/>
      <c r="O27" s="2" t="inlineStr">
        <is>
          <t>Liberação integral no fim do horizonte. Na origem isso acontecia por acidente: a célula do ano 10 estava vazia.</t>
        </is>
      </c>
    </row>
    <row r="28">
      <c r="A28" s="57" t="inlineStr">
        <is>
          <t>FLUXO DE CAIXA LIVRE</t>
        </is>
      </c>
      <c r="B28" s="2" t="inlineStr">
        <is>
          <t>R$</t>
        </is>
      </c>
      <c r="C28" s="61">
        <f>C23+SUM(C24:C27)</f>
        <v/>
      </c>
      <c r="D28" s="61">
        <f>D23+SUM(D24:D27)</f>
        <v/>
      </c>
      <c r="E28" s="61">
        <f>E23+SUM(E24:E27)</f>
        <v/>
      </c>
      <c r="F28" s="61">
        <f>F23+SUM(F24:F27)</f>
        <v/>
      </c>
      <c r="G28" s="61">
        <f>G23+SUM(G24:G27)</f>
        <v/>
      </c>
      <c r="H28" s="61">
        <f>H23+SUM(H24:H27)</f>
        <v/>
      </c>
      <c r="I28" s="61">
        <f>I23+SUM(I24:I27)</f>
        <v/>
      </c>
      <c r="J28" s="61">
        <f>J23+SUM(J24:J27)</f>
        <v/>
      </c>
      <c r="K28" s="61">
        <f>K23+SUM(K24:K27)</f>
        <v/>
      </c>
      <c r="L28" s="61">
        <f>L23+SUM(L24:L27)</f>
        <v/>
      </c>
      <c r="M28" s="61">
        <f>M23+SUM(M24:M27)</f>
        <v/>
      </c>
      <c r="N28" s="122" t="n"/>
      <c r="O28" s="122" t="n"/>
    </row>
    <row r="29">
      <c r="A29" s="17" t="inlineStr">
        <is>
          <t>FCL acumulado</t>
        </is>
      </c>
      <c r="B29" s="2" t="inlineStr">
        <is>
          <t>R$</t>
        </is>
      </c>
      <c r="C29" s="38">
        <f>C28</f>
        <v/>
      </c>
      <c r="D29" s="38">
        <f>C29+D28</f>
        <v/>
      </c>
      <c r="E29" s="38">
        <f>D29+E28</f>
        <v/>
      </c>
      <c r="F29" s="38">
        <f>E29+F28</f>
        <v/>
      </c>
      <c r="G29" s="38">
        <f>F29+G28</f>
        <v/>
      </c>
      <c r="H29" s="38">
        <f>G29+H28</f>
        <v/>
      </c>
      <c r="I29" s="38">
        <f>H29+I28</f>
        <v/>
      </c>
      <c r="J29" s="38">
        <f>I29+J28</f>
        <v/>
      </c>
      <c r="K29" s="38">
        <f>J29+K28</f>
        <v/>
      </c>
      <c r="L29" s="38">
        <f>K29+L28</f>
        <v/>
      </c>
      <c r="M29" s="38">
        <f>L29+M28</f>
        <v/>
      </c>
      <c r="N29" s="122" t="n"/>
      <c r="O29" s="122" t="n"/>
    </row>
    <row r="30">
      <c r="A30" s="122" t="n"/>
      <c r="B30" s="122" t="n"/>
      <c r="C30" s="122" t="n"/>
      <c r="D30" s="122" t="n"/>
      <c r="E30" s="122" t="n"/>
      <c r="F30" s="122" t="n"/>
      <c r="G30" s="122" t="n"/>
      <c r="H30" s="122" t="n"/>
      <c r="I30" s="122" t="n"/>
      <c r="J30" s="122" t="n"/>
      <c r="K30" s="122" t="n"/>
      <c r="L30" s="122" t="n"/>
      <c r="M30" s="122" t="n"/>
      <c r="N30" s="122" t="n"/>
      <c r="O30" s="122" t="n"/>
    </row>
    <row r="31">
      <c r="A31" s="15" t="inlineStr">
        <is>
          <t>C. COMPARAÇÃO COM O FLUXO DA ORIGEM</t>
        </is>
      </c>
      <c r="B31" s="126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6" t="n"/>
      <c r="N31" s="122" t="n"/>
      <c r="O31" s="122" t="n"/>
    </row>
    <row r="32">
      <c r="A32" s="17" t="inlineStr">
        <is>
          <t>FCL da origem</t>
        </is>
      </c>
      <c r="B32" s="2" t="inlineStr">
        <is>
          <t>R$</t>
        </is>
      </c>
      <c r="C32" s="19" t="n">
        <v>-21598508.38</v>
      </c>
      <c r="D32" s="19" t="n">
        <v>7986626.24</v>
      </c>
      <c r="E32" s="19" t="n">
        <v>9362640.66</v>
      </c>
      <c r="F32" s="19" t="n">
        <v>10207909.3</v>
      </c>
      <c r="G32" s="19" t="n">
        <v>6380315.88</v>
      </c>
      <c r="H32" s="19" t="n">
        <v>14515259.21</v>
      </c>
      <c r="I32" s="19" t="n">
        <v>16744065.74</v>
      </c>
      <c r="J32" s="19" t="n">
        <v>20668974.4</v>
      </c>
      <c r="K32" s="19" t="n">
        <v>24904740.2</v>
      </c>
      <c r="L32" s="19" t="n">
        <v>29857465.03</v>
      </c>
      <c r="M32" s="19" t="n">
        <v>51228663.71</v>
      </c>
      <c r="N32" s="122" t="n"/>
      <c r="O32" s="2" t="inlineStr">
        <is>
          <t>Origem: 22.2 Fluxo de Caixa!G10:G20.</t>
        </is>
      </c>
    </row>
    <row r="33">
      <c r="A33" s="17" t="inlineStr">
        <is>
          <t>FCL do modelo</t>
        </is>
      </c>
      <c r="B33" s="2" t="inlineStr">
        <is>
          <t>R$</t>
        </is>
      </c>
      <c r="C33" s="38">
        <f>C28</f>
        <v/>
      </c>
      <c r="D33" s="38">
        <f>D28</f>
        <v/>
      </c>
      <c r="E33" s="38">
        <f>E28</f>
        <v/>
      </c>
      <c r="F33" s="38">
        <f>F28</f>
        <v/>
      </c>
      <c r="G33" s="38">
        <f>G28</f>
        <v/>
      </c>
      <c r="H33" s="38">
        <f>H28</f>
        <v/>
      </c>
      <c r="I33" s="38">
        <f>I28</f>
        <v/>
      </c>
      <c r="J33" s="38">
        <f>J28</f>
        <v/>
      </c>
      <c r="K33" s="38">
        <f>K28</f>
        <v/>
      </c>
      <c r="L33" s="38">
        <f>L28</f>
        <v/>
      </c>
      <c r="M33" s="38">
        <f>M28</f>
        <v/>
      </c>
      <c r="N33" s="122" t="n"/>
      <c r="O33" s="122" t="n"/>
    </row>
    <row r="34">
      <c r="A34" s="21" t="inlineStr">
        <is>
          <t>Diferença</t>
        </is>
      </c>
      <c r="B34" s="2" t="inlineStr">
        <is>
          <t>R$</t>
        </is>
      </c>
      <c r="C34" s="22">
        <f>C28-C32</f>
        <v/>
      </c>
      <c r="D34" s="22">
        <f>D28-D32</f>
        <v/>
      </c>
      <c r="E34" s="22">
        <f>E28-E32</f>
        <v/>
      </c>
      <c r="F34" s="22">
        <f>F28-F32</f>
        <v/>
      </c>
      <c r="G34" s="22">
        <f>G28-G32</f>
        <v/>
      </c>
      <c r="H34" s="22">
        <f>H28-H32</f>
        <v/>
      </c>
      <c r="I34" s="22">
        <f>I28-I32</f>
        <v/>
      </c>
      <c r="J34" s="22">
        <f>J28-J32</f>
        <v/>
      </c>
      <c r="K34" s="22">
        <f>K28-K32</f>
        <v/>
      </c>
      <c r="L34" s="22">
        <f>L28-L32</f>
        <v/>
      </c>
      <c r="M34" s="22">
        <f>M28-M32</f>
        <v/>
      </c>
      <c r="N34" s="122" t="n"/>
      <c r="O34" s="2" t="inlineStr">
        <is>
          <t>Volume = produzido (não vendido), comissão de 3% virou despesa, CAPEX de 2028 corrigido, capital de giro reconstruído.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O41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5" max="15"/>
  </cols>
  <sheetData>
    <row r="1">
      <c r="A1" s="1" t="inlineStr">
        <is>
          <t>VALUATION — WACC NO LUGAR DA SELIC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</row>
    <row r="2">
      <c r="A2" s="2" t="inlineStr">
        <is>
          <t>A origem descontava a 12,25%, "a Selic vigente em outubro de 2020", sem prêmio de risco nenhum. Aqui a taxa é construída e o impacto no VPL fica explícito.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2" t="n"/>
      <c r="O3" s="122" t="n"/>
    </row>
    <row r="4">
      <c r="A4" s="122" t="n"/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</row>
    <row r="5">
      <c r="A5" s="122" t="n"/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</row>
    <row r="6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2" t="n"/>
      <c r="O6" s="122" t="n"/>
    </row>
    <row r="7">
      <c r="A7" s="10" t="inlineStr">
        <is>
          <t>Ano</t>
        </is>
      </c>
      <c r="B7" s="122" t="n"/>
      <c r="C7" s="11" t="n">
        <v>0</v>
      </c>
      <c r="D7" s="11" t="n">
        <v>1</v>
      </c>
      <c r="E7" s="11" t="n">
        <v>2</v>
      </c>
      <c r="F7" s="11" t="n">
        <v>3</v>
      </c>
      <c r="G7" s="11" t="n">
        <v>4</v>
      </c>
      <c r="H7" s="11" t="n">
        <v>5</v>
      </c>
      <c r="I7" s="11" t="n">
        <v>6</v>
      </c>
      <c r="J7" s="11" t="n">
        <v>7</v>
      </c>
      <c r="K7" s="11" t="n">
        <v>8</v>
      </c>
      <c r="L7" s="11" t="n">
        <v>9</v>
      </c>
      <c r="M7" s="11" t="n">
        <v>10</v>
      </c>
      <c r="N7" s="122" t="n"/>
      <c r="O7" s="3" t="inlineStr">
        <is>
          <t>Observação</t>
        </is>
      </c>
    </row>
    <row r="8">
      <c r="A8" s="12" t="inlineStr">
        <is>
          <t>Exercício</t>
        </is>
      </c>
      <c r="B8" s="125" t="n"/>
      <c r="C8" s="14" t="inlineStr">
        <is>
          <t>2023</t>
        </is>
      </c>
      <c r="D8" s="14" t="inlineStr">
        <is>
          <t>2024</t>
        </is>
      </c>
      <c r="E8" s="14" t="inlineStr">
        <is>
          <t>2025</t>
        </is>
      </c>
      <c r="F8" s="14" t="inlineStr">
        <is>
          <t>2026</t>
        </is>
      </c>
      <c r="G8" s="14" t="inlineStr">
        <is>
          <t>2027</t>
        </is>
      </c>
      <c r="H8" s="14" t="inlineStr">
        <is>
          <t>2028</t>
        </is>
      </c>
      <c r="I8" s="14" t="inlineStr">
        <is>
          <t>2029</t>
        </is>
      </c>
      <c r="J8" s="14" t="inlineStr">
        <is>
          <t>2030</t>
        </is>
      </c>
      <c r="K8" s="14" t="inlineStr">
        <is>
          <t>2031</t>
        </is>
      </c>
      <c r="L8" s="14" t="inlineStr">
        <is>
          <t>2032</t>
        </is>
      </c>
      <c r="M8" s="14" t="inlineStr">
        <is>
          <t>2033</t>
        </is>
      </c>
      <c r="N8" s="122" t="n"/>
      <c r="O8" s="122" t="n"/>
    </row>
    <row r="9">
      <c r="A9" s="122" t="n"/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</row>
    <row r="10">
      <c r="A10" s="15" t="inlineStr">
        <is>
          <t>A. FLUXO DESCONTADO</t>
        </is>
      </c>
      <c r="B10" s="126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2" t="n"/>
      <c r="O10" s="122" t="n"/>
    </row>
    <row r="11">
      <c r="A11" s="17" t="inlineStr">
        <is>
          <t>Fluxo de caixa livre</t>
        </is>
      </c>
      <c r="B11" s="2" t="inlineStr">
        <is>
          <t>R$</t>
        </is>
      </c>
      <c r="C11" s="18">
        <f>'5. Fluxo de Caixa'!C28</f>
        <v/>
      </c>
      <c r="D11" s="18">
        <f>'5. Fluxo de Caixa'!D28</f>
        <v/>
      </c>
      <c r="E11" s="18">
        <f>'5. Fluxo de Caixa'!E28</f>
        <v/>
      </c>
      <c r="F11" s="18">
        <f>'5. Fluxo de Caixa'!F28</f>
        <v/>
      </c>
      <c r="G11" s="18">
        <f>'5. Fluxo de Caixa'!G28</f>
        <v/>
      </c>
      <c r="H11" s="18">
        <f>'5. Fluxo de Caixa'!H28</f>
        <v/>
      </c>
      <c r="I11" s="18">
        <f>'5. Fluxo de Caixa'!I28</f>
        <v/>
      </c>
      <c r="J11" s="18">
        <f>'5. Fluxo de Caixa'!J28</f>
        <v/>
      </c>
      <c r="K11" s="18">
        <f>'5. Fluxo de Caixa'!K28</f>
        <v/>
      </c>
      <c r="L11" s="18">
        <f>'5. Fluxo de Caixa'!L28</f>
        <v/>
      </c>
      <c r="M11" s="18">
        <f>'5. Fluxo de Caixa'!M28</f>
        <v/>
      </c>
      <c r="N11" s="122" t="n"/>
      <c r="O11" s="122" t="n"/>
    </row>
    <row r="12">
      <c r="A12" s="17" t="inlineStr">
        <is>
          <t>Fator de desconto @ WACC</t>
        </is>
      </c>
      <c r="B12" s="2" t="inlineStr">
        <is>
          <t>x</t>
        </is>
      </c>
      <c r="C12" s="62">
        <f>1/(1+'2. Inputs'!$C$81)^C$7</f>
        <v/>
      </c>
      <c r="D12" s="62">
        <f>1/(1+'2. Inputs'!$C$81)^D$7</f>
        <v/>
      </c>
      <c r="E12" s="62">
        <f>1/(1+'2. Inputs'!$C$81)^E$7</f>
        <v/>
      </c>
      <c r="F12" s="62">
        <f>1/(1+'2. Inputs'!$C$81)^F$7</f>
        <v/>
      </c>
      <c r="G12" s="62">
        <f>1/(1+'2. Inputs'!$C$81)^G$7</f>
        <v/>
      </c>
      <c r="H12" s="62">
        <f>1/(1+'2. Inputs'!$C$81)^H$7</f>
        <v/>
      </c>
      <c r="I12" s="62">
        <f>1/(1+'2. Inputs'!$C$81)^I$7</f>
        <v/>
      </c>
      <c r="J12" s="62">
        <f>1/(1+'2. Inputs'!$C$81)^J$7</f>
        <v/>
      </c>
      <c r="K12" s="62">
        <f>1/(1+'2. Inputs'!$C$81)^K$7</f>
        <v/>
      </c>
      <c r="L12" s="62">
        <f>1/(1+'2. Inputs'!$C$81)^L$7</f>
        <v/>
      </c>
      <c r="M12" s="62">
        <f>1/(1+'2. Inputs'!$C$81)^M$7</f>
        <v/>
      </c>
      <c r="N12" s="122" t="n"/>
      <c r="O12" s="2" t="inlineStr">
        <is>
          <t>Cálculo: 1/(1+WACC)^ano.</t>
        </is>
      </c>
    </row>
    <row r="13">
      <c r="A13" s="17" t="inlineStr">
        <is>
          <t>FCL descontado @ WACC</t>
        </is>
      </c>
      <c r="B13" s="2" t="inlineStr">
        <is>
          <t>R$</t>
        </is>
      </c>
      <c r="C13" s="38">
        <f>C11*C12</f>
        <v/>
      </c>
      <c r="D13" s="38">
        <f>D11*D12</f>
        <v/>
      </c>
      <c r="E13" s="38">
        <f>E11*E12</f>
        <v/>
      </c>
      <c r="F13" s="38">
        <f>F11*F12</f>
        <v/>
      </c>
      <c r="G13" s="38">
        <f>G11*G12</f>
        <v/>
      </c>
      <c r="H13" s="38">
        <f>H11*H12</f>
        <v/>
      </c>
      <c r="I13" s="38">
        <f>I11*I12</f>
        <v/>
      </c>
      <c r="J13" s="38">
        <f>J11*J12</f>
        <v/>
      </c>
      <c r="K13" s="38">
        <f>K11*K12</f>
        <v/>
      </c>
      <c r="L13" s="38">
        <f>L11*L12</f>
        <v/>
      </c>
      <c r="M13" s="38">
        <f>M11*M12</f>
        <v/>
      </c>
      <c r="N13" s="122" t="n"/>
      <c r="O13" s="122" t="n"/>
    </row>
    <row r="14">
      <c r="A14" s="17" t="inlineStr">
        <is>
          <t>FCL descontado acumulado</t>
        </is>
      </c>
      <c r="B14" s="2" t="inlineStr">
        <is>
          <t>R$</t>
        </is>
      </c>
      <c r="C14" s="38">
        <f>C13</f>
        <v/>
      </c>
      <c r="D14" s="38">
        <f>C14+D13</f>
        <v/>
      </c>
      <c r="E14" s="38">
        <f>D14+E13</f>
        <v/>
      </c>
      <c r="F14" s="38">
        <f>E14+F13</f>
        <v/>
      </c>
      <c r="G14" s="38">
        <f>F14+G13</f>
        <v/>
      </c>
      <c r="H14" s="38">
        <f>G14+H13</f>
        <v/>
      </c>
      <c r="I14" s="38">
        <f>H14+I13</f>
        <v/>
      </c>
      <c r="J14" s="38">
        <f>I14+J13</f>
        <v/>
      </c>
      <c r="K14" s="38">
        <f>J14+K13</f>
        <v/>
      </c>
      <c r="L14" s="38">
        <f>K14+L13</f>
        <v/>
      </c>
      <c r="M14" s="38">
        <f>L14+M13</f>
        <v/>
      </c>
      <c r="N14" s="122" t="n"/>
      <c r="O14" s="122" t="n"/>
    </row>
    <row r="15">
      <c r="A15" s="17" t="inlineStr">
        <is>
          <t>FCL descontado @ Selic 12,25% (critério da origem)</t>
        </is>
      </c>
      <c r="B15" s="2" t="inlineStr">
        <is>
          <t>R$</t>
        </is>
      </c>
      <c r="C15" s="19">
        <f>C11/(1+'2. Inputs'!$C$82)^C$7</f>
        <v/>
      </c>
      <c r="D15" s="19">
        <f>D11/(1+'2. Inputs'!$C$82)^D$7</f>
        <v/>
      </c>
      <c r="E15" s="19">
        <f>E11/(1+'2. Inputs'!$C$82)^E$7</f>
        <v/>
      </c>
      <c r="F15" s="19">
        <f>F11/(1+'2. Inputs'!$C$82)^F$7</f>
        <v/>
      </c>
      <c r="G15" s="19">
        <f>G11/(1+'2. Inputs'!$C$82)^G$7</f>
        <v/>
      </c>
      <c r="H15" s="19">
        <f>H11/(1+'2. Inputs'!$C$82)^H$7</f>
        <v/>
      </c>
      <c r="I15" s="19">
        <f>I11/(1+'2. Inputs'!$C$82)^I$7</f>
        <v/>
      </c>
      <c r="J15" s="19">
        <f>J11/(1+'2. Inputs'!$C$82)^J$7</f>
        <v/>
      </c>
      <c r="K15" s="19">
        <f>K11/(1+'2. Inputs'!$C$82)^K$7</f>
        <v/>
      </c>
      <c r="L15" s="19">
        <f>L11/(1+'2. Inputs'!$C$82)^L$7</f>
        <v/>
      </c>
      <c r="M15" s="19">
        <f>M11/(1+'2. Inputs'!$C$82)^M$7</f>
        <v/>
      </c>
      <c r="N15" s="122" t="n"/>
      <c r="O15" s="122" t="n"/>
    </row>
    <row r="16">
      <c r="A16" s="122" t="n"/>
      <c r="B16" s="122" t="n"/>
      <c r="C16" s="122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</row>
    <row r="17">
      <c r="A17" s="15" t="inlineStr">
        <is>
          <t>B. INDICADORES</t>
        </is>
      </c>
      <c r="B17" s="126" t="n"/>
      <c r="C17" s="126" t="n"/>
      <c r="D17" s="126" t="n"/>
      <c r="E17" s="126" t="n"/>
      <c r="F17" s="126" t="n"/>
      <c r="G17" s="126" t="n"/>
      <c r="H17" s="126" t="n"/>
      <c r="I17" s="126" t="n"/>
      <c r="J17" s="126" t="n"/>
      <c r="K17" s="126" t="n"/>
      <c r="L17" s="126" t="n"/>
      <c r="M17" s="126" t="n"/>
      <c r="N17" s="122" t="n"/>
      <c r="O17" s="122" t="n"/>
    </row>
    <row r="18">
      <c r="A18" s="21" t="inlineStr">
        <is>
          <t>VPL @ WACC</t>
        </is>
      </c>
      <c r="B18" s="122" t="n"/>
      <c r="C18" s="63">
        <f>SUM(C13:M13)</f>
        <v/>
      </c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2" t="inlineStr">
        <is>
          <t>Sem valor terminal — comparável ao critério da origem.</t>
        </is>
      </c>
    </row>
    <row r="19">
      <c r="A19" s="17" t="inlineStr">
        <is>
          <t>VPL @ Selic 12,25%</t>
        </is>
      </c>
      <c r="B19" s="122" t="n"/>
      <c r="C19" s="38">
        <f>SUM(C15:M15)</f>
        <v/>
      </c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2" t="inlineStr">
        <is>
          <t>Mesmo fluxo, taxa da origem.</t>
        </is>
      </c>
    </row>
    <row r="20">
      <c r="A20" s="21" t="inlineStr">
        <is>
          <t>Diferença — o preço de usar a Selic como taxa de desconto</t>
        </is>
      </c>
      <c r="B20" s="122" t="n"/>
      <c r="C20" s="64">
        <f>C18-C19</f>
        <v/>
      </c>
      <c r="D20" s="122" t="n"/>
      <c r="E20" s="122" t="n"/>
      <c r="F20" s="122" t="n"/>
      <c r="G20" s="122" t="n"/>
      <c r="H20" s="122" t="n"/>
      <c r="I20" s="122" t="n"/>
      <c r="J20" s="122" t="n"/>
      <c r="K20" s="122" t="n"/>
      <c r="L20" s="122" t="n"/>
      <c r="M20" s="122" t="n"/>
      <c r="N20" s="122" t="n"/>
      <c r="O20" s="2" t="inlineStr">
        <is>
          <t>Quanto de VPL a origem criava só por ignorar o risco do projeto.</t>
        </is>
      </c>
    </row>
    <row r="21">
      <c r="A21" s="21" t="inlineStr">
        <is>
          <t>TIR</t>
        </is>
      </c>
      <c r="B21" s="122" t="n"/>
      <c r="C21" s="65">
        <f>IRR(C11:M11)</f>
        <v/>
      </c>
      <c r="D21" s="122" t="n"/>
      <c r="E21" s="122" t="n"/>
      <c r="F21" s="122" t="n"/>
      <c r="G21" s="122" t="n"/>
      <c r="H21" s="122" t="n"/>
      <c r="I21" s="122" t="n"/>
      <c r="J21" s="122" t="n"/>
      <c r="K21" s="122" t="n"/>
      <c r="L21" s="122" t="n"/>
      <c r="M21" s="122" t="n"/>
      <c r="N21" s="122" t="n"/>
      <c r="O21" s="2" t="inlineStr">
        <is>
          <t>Comparar com o WACC, não com a Selic.</t>
        </is>
      </c>
    </row>
    <row r="22">
      <c r="A22" s="17" t="inlineStr">
        <is>
          <t>TIR − WACC</t>
        </is>
      </c>
      <c r="B22" s="122" t="n"/>
      <c r="C22" s="20">
        <f>C21-'2. Inputs'!$C$81</f>
        <v/>
      </c>
      <c r="D22" s="122" t="n"/>
      <c r="E22" s="122" t="n"/>
      <c r="F22" s="122" t="n"/>
      <c r="G22" s="122" t="n"/>
      <c r="H22" s="122" t="n"/>
      <c r="I22" s="122" t="n"/>
      <c r="J22" s="122" t="n"/>
      <c r="K22" s="122" t="n"/>
      <c r="L22" s="122" t="n"/>
      <c r="M22" s="122" t="n"/>
      <c r="N22" s="122" t="n"/>
      <c r="O22" s="2" t="inlineStr">
        <is>
          <t>O spread que sobra depois do custo de capital.</t>
        </is>
      </c>
    </row>
    <row r="23">
      <c r="A23" s="17" t="inlineStr">
        <is>
          <t>Payback simples</t>
        </is>
      </c>
      <c r="B23" s="122" t="n"/>
      <c r="C23" s="66">
        <f>IF(COUNTIF('5. Fluxo de Caixa'!C29:'5. Fluxo de Caixa'!M29,"&lt;0")=0,0,IF(COUNTIF('5. Fluxo de Caixa'!C29:'5. Fluxo de Caixa'!M29,"&lt;0")&gt;=11,"não paga no horizonte",COUNTIF('5. Fluxo de Caixa'!C29:'5. Fluxo de Caixa'!M29,"&lt;0")-1+ABS(INDEX('5. Fluxo de Caixa'!C29:'5. Fluxo de Caixa'!M29,COUNTIF('5. Fluxo de Caixa'!C29:'5. Fluxo de Caixa'!M29,"&lt;0")))/INDEX(C11:M11,COUNTIF('5. Fluxo de Caixa'!C29:'5. Fluxo de Caixa'!M29,"&lt;0")+1)))</f>
        <v/>
      </c>
      <c r="D23" s="122" t="n"/>
      <c r="E23" s="122" t="n"/>
      <c r="F23" s="122" t="n"/>
      <c r="G23" s="122" t="n"/>
      <c r="H23" s="122" t="n"/>
      <c r="I23" s="122" t="n"/>
      <c r="J23" s="122" t="n"/>
      <c r="K23" s="122" t="n"/>
      <c r="L23" s="122" t="n"/>
      <c r="M23" s="122" t="n"/>
      <c r="N23" s="122" t="n"/>
      <c r="O23" s="2" t="inlineStr">
        <is>
          <t>Na origem estava DIGITADO como texto ("2,5 anos"), não calculado.</t>
        </is>
      </c>
    </row>
    <row r="24">
      <c r="A24" s="17" t="inlineStr">
        <is>
          <t>Payback descontado</t>
        </is>
      </c>
      <c r="B24" s="122" t="n"/>
      <c r="C24" s="66">
        <f>IF(COUNTIF(C14:M14,"&lt;0")=0,0,IF(COUNTIF(C14:M14,"&lt;0")&gt;=11,"não paga no horizonte",COUNTIF(C14:M14,"&lt;0")-1+ABS(INDEX(C14:M14,COUNTIF(C14:M14,"&lt;0")))/INDEX(C13:M13,COUNTIF(C14:M14,"&lt;0")+1)))</f>
        <v/>
      </c>
      <c r="D24" s="122" t="n"/>
      <c r="E24" s="122" t="n"/>
      <c r="F24" s="122" t="n"/>
      <c r="G24" s="122" t="n"/>
      <c r="H24" s="122" t="n"/>
      <c r="I24" s="122" t="n"/>
      <c r="J24" s="122" t="n"/>
      <c r="K24" s="122" t="n"/>
      <c r="L24" s="122" t="n"/>
      <c r="M24" s="122" t="n"/>
      <c r="N24" s="122" t="n"/>
      <c r="O24" s="2" t="inlineStr">
        <is>
          <t>Descontado ao WACC.</t>
        </is>
      </c>
    </row>
    <row r="25">
      <c r="A25" s="17" t="inlineStr">
        <is>
          <t>Índice de lucratividade</t>
        </is>
      </c>
      <c r="B25" s="122" t="n"/>
      <c r="C25" s="67">
        <f>SUM(D13:M13)/ABS(C11)</f>
        <v/>
      </c>
      <c r="D25" s="122" t="n"/>
      <c r="E25" s="122" t="n"/>
      <c r="F25" s="122" t="n"/>
      <c r="G25" s="122" t="n"/>
      <c r="H25" s="122" t="n"/>
      <c r="I25" s="122" t="n"/>
      <c r="J25" s="122" t="n"/>
      <c r="K25" s="122" t="n"/>
      <c r="L25" s="122" t="n"/>
      <c r="M25" s="122" t="n"/>
      <c r="N25" s="122" t="n"/>
      <c r="O25" s="2" t="inlineStr">
        <is>
          <t>VP dos fluxos dos anos 1–10 sobre o desembolso do ano 0.</t>
        </is>
      </c>
    </row>
    <row r="26">
      <c r="A26" s="122" t="n"/>
      <c r="B26" s="122" t="n"/>
      <c r="C26" s="122" t="n"/>
      <c r="D26" s="122" t="n"/>
      <c r="E26" s="122" t="n"/>
      <c r="F26" s="122" t="n"/>
      <c r="G26" s="122" t="n"/>
      <c r="H26" s="122" t="n"/>
      <c r="I26" s="122" t="n"/>
      <c r="J26" s="122" t="n"/>
      <c r="K26" s="122" t="n"/>
      <c r="L26" s="122" t="n"/>
      <c r="M26" s="122" t="n"/>
      <c r="N26" s="122" t="n"/>
      <c r="O26" s="122" t="n"/>
    </row>
    <row r="27">
      <c r="A27" s="15" t="inlineStr">
        <is>
          <t>C. VALOR TERMINAL — o que a origem não tinha</t>
        </is>
      </c>
      <c r="B27" s="126" t="n"/>
      <c r="C27" s="126" t="n"/>
      <c r="D27" s="126" t="n"/>
      <c r="E27" s="126" t="n"/>
      <c r="F27" s="126" t="n"/>
      <c r="G27" s="126" t="n"/>
      <c r="H27" s="126" t="n"/>
      <c r="I27" s="126" t="n"/>
      <c r="J27" s="126" t="n"/>
      <c r="K27" s="126" t="n"/>
      <c r="L27" s="126" t="n"/>
      <c r="M27" s="126" t="n"/>
      <c r="N27" s="122" t="n"/>
      <c r="O27" s="122" t="n"/>
    </row>
    <row r="28">
      <c r="A28" s="17" t="inlineStr">
        <is>
          <t>Valor contábil líquido do imobilizado no ano 10</t>
        </is>
      </c>
      <c r="B28" s="2" t="inlineStr">
        <is>
          <t>R$</t>
        </is>
      </c>
      <c r="C28" s="18">
        <f>'3. Depreciacao'!M33</f>
        <v/>
      </c>
      <c r="D28" s="122" t="n"/>
      <c r="E28" s="122" t="n"/>
      <c r="F28" s="122" t="n"/>
      <c r="G28" s="122" t="n"/>
      <c r="H28" s="122" t="n"/>
      <c r="I28" s="122" t="n"/>
      <c r="J28" s="122" t="n"/>
      <c r="K28" s="122" t="n"/>
      <c r="L28" s="122" t="n"/>
      <c r="M28" s="122" t="n"/>
      <c r="N28" s="122" t="n"/>
      <c r="O28" s="2" t="inlineStr">
        <is>
          <t>A planta continua existindo no fim do horizonte. A origem descartava esse valor.</t>
        </is>
      </c>
    </row>
    <row r="29">
      <c r="A29" s="17" t="inlineStr">
        <is>
          <t>VP do valor residual do imobilizado</t>
        </is>
      </c>
      <c r="B29" s="2" t="inlineStr">
        <is>
          <t>R$</t>
        </is>
      </c>
      <c r="C29" s="38">
        <f>C28*M12</f>
        <v/>
      </c>
      <c r="D29" s="122" t="n"/>
      <c r="E29" s="122" t="n"/>
      <c r="F29" s="122" t="n"/>
      <c r="G29" s="122" t="n"/>
      <c r="H29" s="122" t="n"/>
      <c r="I29" s="122" t="n"/>
      <c r="J29" s="122" t="n"/>
      <c r="K29" s="122" t="n"/>
      <c r="L29" s="122" t="n"/>
      <c r="M29" s="122" t="n"/>
      <c r="N29" s="122" t="n"/>
      <c r="O29" s="122" t="n"/>
    </row>
    <row r="30">
      <c r="A30" s="21" t="inlineStr">
        <is>
          <t>VPL com valor residual (visão de liquidação)</t>
        </is>
      </c>
      <c r="B30" s="2" t="inlineStr">
        <is>
          <t>R$</t>
        </is>
      </c>
      <c r="C30" s="22">
        <f>C18+C29</f>
        <v/>
      </c>
      <c r="D30" s="122" t="n"/>
      <c r="E30" s="122" t="n"/>
      <c r="F30" s="122" t="n"/>
      <c r="G30" s="122" t="n"/>
      <c r="H30" s="122" t="n"/>
      <c r="I30" s="122" t="n"/>
      <c r="J30" s="122" t="n"/>
      <c r="K30" s="122" t="n"/>
      <c r="L30" s="122" t="n"/>
      <c r="M30" s="122" t="n"/>
      <c r="N30" s="122" t="n"/>
      <c r="O30" s="122" t="n"/>
    </row>
    <row r="31">
      <c r="A31" s="17" t="inlineStr">
        <is>
          <t>Perpetuidade a partir do FCL do ano 10</t>
        </is>
      </c>
      <c r="B31" s="2" t="inlineStr">
        <is>
          <t>R$</t>
        </is>
      </c>
      <c r="C31" s="38">
        <f>IFERROR((M11-'5. Fluxo de Caixa'!M27)*(1+'2. Inputs'!$C$83)/('2. Inputs'!$C$81-'2. Inputs'!$C$83),0)</f>
        <v/>
      </c>
      <c r="D31" s="122" t="n"/>
      <c r="E31" s="122" t="n"/>
      <c r="F31" s="122" t="n"/>
      <c r="G31" s="122" t="n"/>
      <c r="H31" s="122" t="n"/>
      <c r="I31" s="122" t="n"/>
      <c r="J31" s="122" t="n"/>
      <c r="K31" s="122" t="n"/>
      <c r="L31" s="122" t="n"/>
      <c r="M31" s="122" t="n"/>
      <c r="N31" s="122" t="n"/>
      <c r="O31" s="2" t="inlineStr">
        <is>
          <t>Cálculo: FCL ano 10 (líquido da liberação do giro) x (1+g) / (WACC − g).</t>
        </is>
      </c>
    </row>
    <row r="32">
      <c r="A32" s="17" t="inlineStr">
        <is>
          <t>VP da perpetuidade</t>
        </is>
      </c>
      <c r="B32" s="2" t="inlineStr">
        <is>
          <t>R$</t>
        </is>
      </c>
      <c r="C32" s="38">
        <f>C31*M12</f>
        <v/>
      </c>
      <c r="D32" s="122" t="n"/>
      <c r="E32" s="122" t="n"/>
      <c r="F32" s="122" t="n"/>
      <c r="G32" s="122" t="n"/>
      <c r="H32" s="122" t="n"/>
      <c r="I32" s="122" t="n"/>
      <c r="J32" s="122" t="n"/>
      <c r="K32" s="122" t="n"/>
      <c r="L32" s="122" t="n"/>
      <c r="M32" s="122" t="n"/>
      <c r="N32" s="122" t="n"/>
      <c r="O32" s="122" t="n"/>
    </row>
    <row r="33">
      <c r="A33" s="21" t="inlineStr">
        <is>
          <t>VPL com perpetuidade (visão de continuidade)</t>
        </is>
      </c>
      <c r="B33" s="2" t="inlineStr">
        <is>
          <t>R$</t>
        </is>
      </c>
      <c r="C33" s="22">
        <f>C18+C32</f>
        <v/>
      </c>
      <c r="D33" s="122" t="n"/>
      <c r="E33" s="122" t="n"/>
      <c r="F33" s="122" t="n"/>
      <c r="G33" s="122" t="n"/>
      <c r="H33" s="122" t="n"/>
      <c r="I33" s="122" t="n"/>
      <c r="J33" s="122" t="n"/>
      <c r="K33" s="122" t="n"/>
      <c r="L33" s="122" t="n"/>
      <c r="M33" s="122" t="n"/>
      <c r="N33" s="122" t="n"/>
      <c r="O33" s="122" t="n"/>
    </row>
    <row r="34">
      <c r="A34" s="2" t="inlineStr">
        <is>
          <t>As três visões não se somam: escolha uma. Liquidação e continuidade são hipóteses alternativas sobre o que acontece no ano 11.</t>
        </is>
      </c>
      <c r="B34" s="122" t="n"/>
      <c r="C34" s="122" t="n"/>
      <c r="D34" s="122" t="n"/>
      <c r="E34" s="122" t="n"/>
      <c r="F34" s="122" t="n"/>
      <c r="G34" s="122" t="n"/>
      <c r="H34" s="122" t="n"/>
      <c r="I34" s="122" t="n"/>
      <c r="J34" s="122" t="n"/>
      <c r="K34" s="122" t="n"/>
      <c r="L34" s="122" t="n"/>
      <c r="M34" s="122" t="n"/>
      <c r="N34" s="122" t="n"/>
      <c r="O34" s="122" t="n"/>
    </row>
    <row r="35">
      <c r="A35" s="122" t="n"/>
      <c r="B35" s="122" t="n"/>
      <c r="C35" s="122" t="n"/>
      <c r="D35" s="122" t="n"/>
      <c r="E35" s="122" t="n"/>
      <c r="F35" s="122" t="n"/>
      <c r="G35" s="122" t="n"/>
      <c r="H35" s="122" t="n"/>
      <c r="I35" s="122" t="n"/>
      <c r="J35" s="122" t="n"/>
      <c r="K35" s="122" t="n"/>
      <c r="L35" s="122" t="n"/>
      <c r="M35" s="122" t="n"/>
      <c r="N35" s="122" t="n"/>
      <c r="O35" s="122" t="n"/>
    </row>
    <row r="36">
      <c r="A36" s="15" t="inlineStr">
        <is>
          <t>D. PONTE DE VPL — DA ORIGEM AO MODELO</t>
        </is>
      </c>
      <c r="B36" s="126" t="n"/>
      <c r="C36" s="126" t="n"/>
      <c r="D36" s="126" t="n"/>
      <c r="E36" s="126" t="n"/>
      <c r="F36" s="126" t="n"/>
      <c r="G36" s="126" t="n"/>
      <c r="H36" s="126" t="n"/>
      <c r="I36" s="126" t="n"/>
      <c r="J36" s="126" t="n"/>
      <c r="K36" s="126" t="n"/>
      <c r="L36" s="126" t="n"/>
      <c r="M36" s="126" t="n"/>
      <c r="N36" s="122" t="n"/>
      <c r="O36" s="122" t="n"/>
    </row>
    <row r="37">
      <c r="A37" s="17" t="inlineStr">
        <is>
          <t>VPL da origem</t>
        </is>
      </c>
      <c r="B37" s="2" t="inlineStr">
        <is>
          <t>R$</t>
        </is>
      </c>
      <c r="C37" s="19" t="n">
        <v>66467823.06</v>
      </c>
      <c r="D37" s="122" t="n"/>
      <c r="E37" s="122" t="n"/>
      <c r="F37" s="122" t="n"/>
      <c r="G37" s="122" t="n"/>
      <c r="H37" s="122" t="n"/>
      <c r="I37" s="122" t="n"/>
      <c r="J37" s="122" t="n"/>
      <c r="K37" s="122" t="n"/>
      <c r="L37" s="122" t="n"/>
      <c r="M37" s="122" t="n"/>
      <c r="N37" s="122" t="n"/>
      <c r="O37" s="2" t="inlineStr">
        <is>
          <t>Origem: 22.2 Fluxo de Caixa!J36, descontado à Selic de 12,25%.</t>
        </is>
      </c>
    </row>
    <row r="38">
      <c r="A38" s="17" t="inlineStr">
        <is>
          <t>(1) Efeito de reconstruir o fluxo de caixa</t>
        </is>
      </c>
      <c r="B38" s="2" t="inlineStr">
        <is>
          <t>R$</t>
        </is>
      </c>
      <c r="C38" s="38">
        <f>C19-C37</f>
        <v/>
      </c>
      <c r="D38" s="122" t="n"/>
      <c r="E38" s="122" t="n"/>
      <c r="F38" s="122" t="n"/>
      <c r="G38" s="122" t="n"/>
      <c r="H38" s="122" t="n"/>
      <c r="I38" s="122" t="n"/>
      <c r="J38" s="122" t="n"/>
      <c r="K38" s="122" t="n"/>
      <c r="L38" s="122" t="n"/>
      <c r="M38" s="122" t="n"/>
      <c r="N38" s="122" t="n"/>
      <c r="O38" s="2" t="inlineStr">
        <is>
          <t>Volume = produzido; comissão de 3% virou despesa; CAPEX de 2028 e 2030 corrigidos; depreciação corrigida; capital de giro reconstruído. Mesma taxa de 12,25%.</t>
        </is>
      </c>
    </row>
    <row r="39">
      <c r="A39" s="17" t="inlineStr">
        <is>
          <t>(2) Efeito de trocar a Selic pelo WACC</t>
        </is>
      </c>
      <c r="B39" s="2" t="inlineStr">
        <is>
          <t>R$</t>
        </is>
      </c>
      <c r="C39" s="38">
        <f>C18-C19</f>
        <v/>
      </c>
      <c r="D39" s="122" t="n"/>
      <c r="E39" s="122" t="n"/>
      <c r="F39" s="122" t="n"/>
      <c r="G39" s="122" t="n"/>
      <c r="H39" s="122" t="n"/>
      <c r="I39" s="122" t="n"/>
      <c r="J39" s="122" t="n"/>
      <c r="K39" s="122" t="n"/>
      <c r="L39" s="122" t="n"/>
      <c r="M39" s="122" t="n"/>
      <c r="N39" s="122" t="n"/>
      <c r="O39" s="2" t="inlineStr">
        <is>
          <t>O gap 4 do projeto, isolado.</t>
        </is>
      </c>
    </row>
    <row r="40">
      <c r="A40" s="21" t="inlineStr">
        <is>
          <t>VPL do modelo @ WACC</t>
        </is>
      </c>
      <c r="B40" s="2" t="inlineStr">
        <is>
          <t>R$</t>
        </is>
      </c>
      <c r="C40" s="68">
        <f>C37+C38+C39</f>
        <v/>
      </c>
      <c r="D40" s="122" t="n"/>
      <c r="E40" s="122" t="n"/>
      <c r="F40" s="122" t="n"/>
      <c r="G40" s="122" t="n"/>
      <c r="H40" s="122" t="n"/>
      <c r="I40" s="122" t="n"/>
      <c r="J40" s="122" t="n"/>
      <c r="K40" s="122" t="n"/>
      <c r="L40" s="122" t="n"/>
      <c r="M40" s="122" t="n"/>
      <c r="N40" s="122" t="n"/>
      <c r="O40" s="122" t="n"/>
    </row>
    <row r="41">
      <c r="A41" s="17" t="inlineStr">
        <is>
          <t>Check: bate com o VPL @ WACC?</t>
        </is>
      </c>
      <c r="B41" s="122" t="n"/>
      <c r="C41" s="21">
        <f>IF(ABS(C40-C18)&lt;1,"OK","ERRO")</f>
        <v/>
      </c>
      <c r="D41" s="122" t="n"/>
      <c r="E41" s="122" t="n"/>
      <c r="F41" s="122" t="n"/>
      <c r="G41" s="122" t="n"/>
      <c r="H41" s="122" t="n"/>
      <c r="I41" s="122" t="n"/>
      <c r="J41" s="122" t="n"/>
      <c r="K41" s="122" t="n"/>
      <c r="L41" s="122" t="n"/>
      <c r="M41" s="122" t="n"/>
      <c r="N41" s="122" t="n"/>
      <c r="O41" s="12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O66"/>
  <sheetViews>
    <sheetView workbookViewId="0">
      <pane ySplit="8" topLeftCell="A9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5" max="15"/>
  </cols>
  <sheetData>
    <row r="1">
      <c r="A1" s="1" t="inlineStr">
        <is>
          <t>CENÁRIOS, SENSIBILIDADE E PONTO DE EQUILÍBRIO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</row>
    <row r="2">
      <c r="A2" s="2" t="inlineStr">
        <is>
          <t>A origem não tinha cenário, tabela de sensibilidade nem leitura de risco. O cálculo fica na aba 8; aqui só o resultado. Troque o cenário ativo na aba 2. Inputs, célula C5.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2" t="n"/>
      <c r="O3" s="122" t="n"/>
    </row>
    <row r="4">
      <c r="A4" s="122" t="n"/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</row>
    <row r="5">
      <c r="A5" s="122" t="n"/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</row>
    <row r="6">
      <c r="A6" s="15" t="inlineStr">
        <is>
          <t>A. OS TRÊS CENÁRIOS</t>
        </is>
      </c>
      <c r="B6" s="126" t="n"/>
      <c r="C6" s="126" t="n"/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2" t="n"/>
      <c r="O6" s="122" t="n"/>
    </row>
    <row r="7">
      <c r="A7" s="85" t="inlineStr">
        <is>
          <t>Métrica</t>
        </is>
      </c>
      <c r="B7" s="86" t="inlineStr">
        <is>
          <t>Pessimista</t>
        </is>
      </c>
      <c r="C7" s="86" t="inlineStr">
        <is>
          <t>Base</t>
        </is>
      </c>
      <c r="D7" s="86" t="inlineStr">
        <is>
          <t>Otimista</t>
        </is>
      </c>
      <c r="E7" s="86" t="inlineStr">
        <is>
          <t>Amplitude</t>
        </is>
      </c>
      <c r="F7" s="122" t="n"/>
      <c r="G7" s="122" t="n"/>
      <c r="H7" s="122" t="n"/>
      <c r="I7" s="122" t="n"/>
      <c r="J7" s="122" t="n"/>
      <c r="K7" s="122" t="n"/>
      <c r="L7" s="122" t="n"/>
      <c r="M7" s="122" t="n"/>
      <c r="N7" s="122" t="n"/>
      <c r="O7" s="122" t="n"/>
    </row>
    <row r="8">
      <c r="A8" s="17" t="inlineStr">
        <is>
          <t>Δ volume</t>
        </is>
      </c>
      <c r="B8" s="54">
        <f>'8. Motor de Cenarios'!C7</f>
        <v/>
      </c>
      <c r="C8" s="54">
        <f>'8. Motor de Cenarios'!C8</f>
        <v/>
      </c>
      <c r="D8" s="54">
        <f>'8. Motor de Cenarios'!C9</f>
        <v/>
      </c>
      <c r="E8" s="55">
        <f>D8-B8</f>
        <v/>
      </c>
      <c r="F8" s="122" t="n"/>
      <c r="G8" s="122" t="n"/>
      <c r="H8" s="122" t="n"/>
      <c r="I8" s="122" t="n"/>
      <c r="J8" s="122" t="n"/>
      <c r="K8" s="122" t="n"/>
      <c r="L8" s="122" t="n"/>
      <c r="M8" s="122" t="n"/>
      <c r="N8" s="122" t="n"/>
      <c r="O8" s="122" t="n"/>
    </row>
    <row r="9">
      <c r="A9" s="17" t="inlineStr">
        <is>
          <t>Δ margem-alvo (p.p.)</t>
        </is>
      </c>
      <c r="B9" s="54">
        <f>'8. Motor de Cenarios'!D7</f>
        <v/>
      </c>
      <c r="C9" s="54">
        <f>'8. Motor de Cenarios'!D8</f>
        <v/>
      </c>
      <c r="D9" s="54">
        <f>'8. Motor de Cenarios'!D9</f>
        <v/>
      </c>
      <c r="E9" s="55">
        <f>D9-B9</f>
        <v/>
      </c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</row>
    <row r="10">
      <c r="A10" s="17" t="inlineStr">
        <is>
          <t>Δ custo variável unitário</t>
        </is>
      </c>
      <c r="B10" s="54">
        <f>'8. Motor de Cenarios'!E7</f>
        <v/>
      </c>
      <c r="C10" s="54">
        <f>'8. Motor de Cenarios'!E8</f>
        <v/>
      </c>
      <c r="D10" s="54">
        <f>'8. Motor de Cenarios'!E9</f>
        <v/>
      </c>
      <c r="E10" s="55">
        <f>D10-B10</f>
        <v/>
      </c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</row>
    <row r="11">
      <c r="A11" s="17" t="inlineStr">
        <is>
          <t>Contingência (% do CAPEX/ano)</t>
        </is>
      </c>
      <c r="B11" s="54">
        <f>'8. Motor de Cenarios'!F7</f>
        <v/>
      </c>
      <c r="C11" s="54">
        <f>'8. Motor de Cenarios'!F8</f>
        <v/>
      </c>
      <c r="D11" s="54">
        <f>'8. Motor de Cenarios'!F9</f>
        <v/>
      </c>
      <c r="E11" s="55">
        <f>D11-B11</f>
        <v/>
      </c>
      <c r="F11" s="122" t="n"/>
      <c r="G11" s="122" t="n"/>
      <c r="H11" s="122" t="n"/>
      <c r="I11" s="122" t="n"/>
      <c r="J11" s="122" t="n"/>
      <c r="K11" s="122" t="n"/>
      <c r="L11" s="122" t="n"/>
      <c r="M11" s="122" t="n"/>
      <c r="N11" s="122" t="n"/>
      <c r="O11" s="122" t="n"/>
    </row>
    <row r="12">
      <c r="A12" s="17" t="inlineStr">
        <is>
          <t>Participação do Sudeste</t>
        </is>
      </c>
      <c r="B12" s="54">
        <f>'8. Motor de Cenarios'!G7</f>
        <v/>
      </c>
      <c r="C12" s="54">
        <f>'8. Motor de Cenarios'!G8</f>
        <v/>
      </c>
      <c r="D12" s="54">
        <f>'8. Motor de Cenarios'!G9</f>
        <v/>
      </c>
      <c r="E12" s="55">
        <f>D12-B12</f>
        <v/>
      </c>
      <c r="F12" s="122" t="n"/>
      <c r="G12" s="122" t="n"/>
      <c r="H12" s="122" t="n"/>
      <c r="I12" s="122" t="n"/>
      <c r="J12" s="122" t="n"/>
      <c r="K12" s="122" t="n"/>
      <c r="L12" s="122" t="n"/>
      <c r="M12" s="122" t="n"/>
      <c r="N12" s="122" t="n"/>
      <c r="O12" s="122" t="n"/>
    </row>
    <row r="13">
      <c r="A13" s="21" t="inlineStr">
        <is>
          <t>EBITDA ano 1</t>
        </is>
      </c>
      <c r="B13" s="134">
        <f>'8. Motor de Cenarios'!J7</f>
        <v/>
      </c>
      <c r="C13" s="134">
        <f>'8. Motor de Cenarios'!J8</f>
        <v/>
      </c>
      <c r="D13" s="134">
        <f>'8. Motor de Cenarios'!J9</f>
        <v/>
      </c>
      <c r="E13" s="88">
        <f>D13-B13</f>
        <v/>
      </c>
      <c r="F13" s="122" t="n"/>
      <c r="G13" s="122" t="n"/>
      <c r="H13" s="122" t="n"/>
      <c r="I13" s="122" t="n"/>
      <c r="J13" s="122" t="n"/>
      <c r="K13" s="122" t="n"/>
      <c r="L13" s="122" t="n"/>
      <c r="M13" s="122" t="n"/>
      <c r="N13" s="122" t="n"/>
      <c r="O13" s="122" t="n"/>
    </row>
    <row r="14">
      <c r="A14" s="17" t="inlineStr">
        <is>
          <t>Margem EBITDA ano 1</t>
        </is>
      </c>
      <c r="B14" s="54">
        <f>'8. Motor de Cenarios'!K7</f>
        <v/>
      </c>
      <c r="C14" s="54">
        <f>'8. Motor de Cenarios'!K8</f>
        <v/>
      </c>
      <c r="D14" s="54">
        <f>'8. Motor de Cenarios'!K9</f>
        <v/>
      </c>
      <c r="E14" s="55">
        <f>D14-B14</f>
        <v/>
      </c>
      <c r="F14" s="122" t="n"/>
      <c r="G14" s="122" t="n"/>
      <c r="H14" s="122" t="n"/>
      <c r="I14" s="122" t="n"/>
      <c r="J14" s="122" t="n"/>
      <c r="K14" s="122" t="n"/>
      <c r="L14" s="122" t="n"/>
      <c r="M14" s="122" t="n"/>
      <c r="N14" s="122" t="n"/>
      <c r="O14" s="122" t="n"/>
    </row>
    <row r="15">
      <c r="A15" s="21" t="inlineStr">
        <is>
          <t>EBITDA ano 10</t>
        </is>
      </c>
      <c r="B15" s="18">
        <f>'8. Motor de Cenarios'!L7</f>
        <v/>
      </c>
      <c r="C15" s="18">
        <f>'8. Motor de Cenarios'!L8</f>
        <v/>
      </c>
      <c r="D15" s="18">
        <f>'8. Motor de Cenarios'!L9</f>
        <v/>
      </c>
      <c r="E15" s="19">
        <f>D15-B15</f>
        <v/>
      </c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</row>
    <row r="16">
      <c r="A16" s="21" t="inlineStr">
        <is>
          <t>VPL @ WACC</t>
        </is>
      </c>
      <c r="B16" s="18">
        <f>'8. Motor de Cenarios'!H7</f>
        <v/>
      </c>
      <c r="C16" s="18">
        <f>'8. Motor de Cenarios'!H8</f>
        <v/>
      </c>
      <c r="D16" s="18">
        <f>'8. Motor de Cenarios'!H9</f>
        <v/>
      </c>
      <c r="E16" s="19">
        <f>D16-B16</f>
        <v/>
      </c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</row>
    <row r="17">
      <c r="A17" s="21" t="inlineStr">
        <is>
          <t>TIR</t>
        </is>
      </c>
      <c r="B17" s="54">
        <f>'8. Motor de Cenarios'!I7</f>
        <v/>
      </c>
      <c r="C17" s="54">
        <f>'8. Motor de Cenarios'!I8</f>
        <v/>
      </c>
      <c r="D17" s="54">
        <f>'8. Motor de Cenarios'!I9</f>
        <v/>
      </c>
      <c r="E17" s="55">
        <f>D17-B17</f>
        <v/>
      </c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</row>
    <row r="18">
      <c r="A18" s="17" t="inlineStr">
        <is>
          <t>Payback descontado (anos)</t>
        </is>
      </c>
      <c r="B18" s="135">
        <f>'8. Motor de Cenarios'!M7</f>
        <v/>
      </c>
      <c r="C18" s="135">
        <f>'8. Motor de Cenarios'!M8</f>
        <v/>
      </c>
      <c r="D18" s="135">
        <f>'8. Motor de Cenarios'!M9</f>
        <v/>
      </c>
      <c r="E18" s="90">
        <f>D18-B18</f>
        <v/>
      </c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122" t="n"/>
    </row>
    <row r="19">
      <c r="A19" s="122" t="n"/>
      <c r="B19" s="122" t="n"/>
      <c r="C19" s="122" t="n"/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</row>
    <row r="20">
      <c r="A20" s="10" t="inlineStr">
        <is>
          <t>Leitura</t>
        </is>
      </c>
      <c r="B20" s="122" t="n"/>
      <c r="C20" s="122" t="n"/>
      <c r="D20" s="122" t="n"/>
      <c r="E20" s="122" t="n"/>
      <c r="F20" s="122" t="n"/>
      <c r="G20" s="122" t="n"/>
      <c r="H20" s="122" t="n"/>
      <c r="I20" s="122" t="n"/>
      <c r="J20" s="122" t="n"/>
      <c r="K20" s="122" t="n"/>
      <c r="L20" s="122" t="n"/>
      <c r="M20" s="122" t="n"/>
      <c r="N20" s="122" t="n"/>
      <c r="O20" s="122" t="n"/>
    </row>
    <row r="21" ht="30" customHeight="1">
      <c r="A21" s="52" t="inlineStr">
        <is>
          <t>• O VPL vai de R$ 25 mi a R$ 52 mi entre o pessimista e o otimista. Em nenhum dos três o projeto destrói valor: a TIR nunca cai abaixo de 37%, contra um WACC de 18%.</t>
        </is>
      </c>
      <c r="N21" s="122" t="n"/>
      <c r="O21" s="122" t="n"/>
    </row>
    <row r="22" ht="30" customHeight="1">
      <c r="A22" s="52" t="inlineStr">
        <is>
          <t>• A alavanca que mais move o resultado é a margem-alvo, não o volume — e a margem-alvo é a premissa com menos base no caso (sobe 2 p.p. ao ano até 43%, sem estudo de preço).</t>
        </is>
      </c>
      <c r="N22" s="122" t="n"/>
      <c r="O22" s="122" t="n"/>
    </row>
    <row r="23" ht="30" customHeight="1">
      <c r="A23" s="52" t="inlineStr">
        <is>
          <t>• No modo 1 de precificação (custo + markup, a lógica da origem), custo mais alto gera VPL mais alto, porque o preço sobe junto. É o comportamento do modelo, não do negócio: mude para o modo 2 na aba 2. Inputs para testar preço de mercado fixo.</t>
        </is>
      </c>
      <c r="N23" s="122" t="n"/>
      <c r="O23" s="122" t="n"/>
    </row>
    <row r="24" ht="30" customHeight="1">
      <c r="A24" s="52" t="inlineStr">
        <is>
          <t>• O mix regional quase não move o resultado: o frete é 0,4% do custo e 80% do volume já está no Sudeste. Vale manter a alavanca, mas ela não é onde o risco mora.</t>
        </is>
      </c>
      <c r="N24" s="122" t="n"/>
      <c r="O24" s="122" t="n"/>
    </row>
    <row r="25">
      <c r="A25" s="122" t="n"/>
      <c r="B25" s="122" t="n"/>
      <c r="C25" s="122" t="n"/>
      <c r="D25" s="122" t="n"/>
      <c r="E25" s="122" t="n"/>
      <c r="F25" s="122" t="n"/>
      <c r="G25" s="122" t="n"/>
      <c r="H25" s="122" t="n"/>
      <c r="I25" s="122" t="n"/>
      <c r="J25" s="122" t="n"/>
      <c r="K25" s="122" t="n"/>
      <c r="L25" s="122" t="n"/>
      <c r="M25" s="122" t="n"/>
      <c r="N25" s="122" t="n"/>
      <c r="O25" s="122" t="n"/>
    </row>
    <row r="26">
      <c r="A26" s="15" t="inlineStr">
        <is>
          <t>B. TORNADO — o que mais move o VPL</t>
        </is>
      </c>
      <c r="B26" s="126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6" t="n"/>
      <c r="N26" s="122" t="n"/>
      <c r="O26" s="122" t="n"/>
    </row>
    <row r="27">
      <c r="A27" s="46" t="inlineStr">
        <is>
          <t>Alavanca</t>
        </is>
      </c>
      <c r="B27" s="46" t="inlineStr">
        <is>
          <t>Cenário baixo</t>
        </is>
      </c>
      <c r="C27" s="46" t="inlineStr">
        <is>
          <t>VPL baixo</t>
        </is>
      </c>
      <c r="D27" s="46" t="inlineStr">
        <is>
          <t>Cenário alto</t>
        </is>
      </c>
      <c r="E27" s="46" t="inlineStr">
        <is>
          <t>VPL alto</t>
        </is>
      </c>
      <c r="F27" s="46" t="inlineStr">
        <is>
          <t>Amplitude</t>
        </is>
      </c>
      <c r="G27" s="46" t="inlineStr">
        <is>
          <t>% do VPL base</t>
        </is>
      </c>
      <c r="H27" s="122" t="n"/>
      <c r="I27" s="122" t="n"/>
      <c r="J27" s="122" t="n"/>
      <c r="K27" s="122" t="n"/>
      <c r="L27" s="122" t="n"/>
      <c r="M27" s="122" t="n"/>
      <c r="N27" s="122" t="n"/>
      <c r="O27" s="122" t="n"/>
    </row>
    <row r="28">
      <c r="A28" s="17" t="inlineStr">
        <is>
          <t>Volume</t>
        </is>
      </c>
      <c r="B28" s="91">
        <f>'8. Motor de Cenarios'!B10</f>
        <v/>
      </c>
      <c r="C28" s="18">
        <f>'8. Motor de Cenarios'!H10</f>
        <v/>
      </c>
      <c r="D28" s="91">
        <f>'8. Motor de Cenarios'!B11</f>
        <v/>
      </c>
      <c r="E28" s="18">
        <f>'8. Motor de Cenarios'!H11</f>
        <v/>
      </c>
      <c r="F28" s="22">
        <f>ABS(E28-C28)</f>
        <v/>
      </c>
      <c r="G28" s="20">
        <f>F28/'8. Motor de Cenarios'!$H$8</f>
        <v/>
      </c>
      <c r="H28" s="122" t="n"/>
      <c r="I28" s="122" t="n"/>
      <c r="J28" s="122" t="n"/>
      <c r="K28" s="122" t="n"/>
      <c r="L28" s="122" t="n"/>
      <c r="M28" s="122" t="n"/>
      <c r="N28" s="122" t="n"/>
      <c r="O28" s="122" t="n"/>
    </row>
    <row r="29">
      <c r="A29" s="17" t="inlineStr">
        <is>
          <t>Margem-alvo</t>
        </is>
      </c>
      <c r="B29" s="91">
        <f>'8. Motor de Cenarios'!B12</f>
        <v/>
      </c>
      <c r="C29" s="18">
        <f>'8. Motor de Cenarios'!H12</f>
        <v/>
      </c>
      <c r="D29" s="91">
        <f>'8. Motor de Cenarios'!B13</f>
        <v/>
      </c>
      <c r="E29" s="18">
        <f>'8. Motor de Cenarios'!H13</f>
        <v/>
      </c>
      <c r="F29" s="22">
        <f>ABS(E29-C29)</f>
        <v/>
      </c>
      <c r="G29" s="20">
        <f>F29/'8. Motor de Cenarios'!$H$8</f>
        <v/>
      </c>
      <c r="H29" s="122" t="n"/>
      <c r="I29" s="122" t="n"/>
      <c r="J29" s="122" t="n"/>
      <c r="K29" s="122" t="n"/>
      <c r="L29" s="122" t="n"/>
      <c r="M29" s="122" t="n"/>
      <c r="N29" s="122" t="n"/>
      <c r="O29" s="122" t="n"/>
    </row>
    <row r="30">
      <c r="A30" s="17" t="inlineStr">
        <is>
          <t>Custo variável unitário</t>
        </is>
      </c>
      <c r="B30" s="91">
        <f>'8. Motor de Cenarios'!B14</f>
        <v/>
      </c>
      <c r="C30" s="18">
        <f>'8. Motor de Cenarios'!H14</f>
        <v/>
      </c>
      <c r="D30" s="91">
        <f>'8. Motor de Cenarios'!B15</f>
        <v/>
      </c>
      <c r="E30" s="18">
        <f>'8. Motor de Cenarios'!H15</f>
        <v/>
      </c>
      <c r="F30" s="22">
        <f>ABS(E30-C30)</f>
        <v/>
      </c>
      <c r="G30" s="20">
        <f>F30/'8. Motor de Cenarios'!$H$8</f>
        <v/>
      </c>
      <c r="H30" s="122" t="n"/>
      <c r="I30" s="122" t="n"/>
      <c r="J30" s="122" t="n"/>
      <c r="K30" s="122" t="n"/>
      <c r="L30" s="122" t="n"/>
      <c r="M30" s="122" t="n"/>
      <c r="N30" s="122" t="n"/>
      <c r="O30" s="122" t="n"/>
    </row>
    <row r="31">
      <c r="A31" s="17" t="inlineStr">
        <is>
          <t>Contingência</t>
        </is>
      </c>
      <c r="B31" s="91">
        <f>'8. Motor de Cenarios'!B16</f>
        <v/>
      </c>
      <c r="C31" s="18">
        <f>'8. Motor de Cenarios'!H16</f>
        <v/>
      </c>
      <c r="D31" s="91">
        <f>'8. Motor de Cenarios'!B17</f>
        <v/>
      </c>
      <c r="E31" s="18">
        <f>'8. Motor de Cenarios'!H17</f>
        <v/>
      </c>
      <c r="F31" s="22">
        <f>ABS(E31-C31)</f>
        <v/>
      </c>
      <c r="G31" s="20">
        <f>F31/'8. Motor de Cenarios'!$H$8</f>
        <v/>
      </c>
      <c r="H31" s="122" t="n"/>
      <c r="I31" s="122" t="n"/>
      <c r="J31" s="122" t="n"/>
      <c r="K31" s="122" t="n"/>
      <c r="L31" s="122" t="n"/>
      <c r="M31" s="122" t="n"/>
      <c r="N31" s="122" t="n"/>
      <c r="O31" s="122" t="n"/>
    </row>
    <row r="32">
      <c r="A32" s="17" t="inlineStr">
        <is>
          <t>Mix — participação do Sudeste</t>
        </is>
      </c>
      <c r="B32" s="91">
        <f>'8. Motor de Cenarios'!B18</f>
        <v/>
      </c>
      <c r="C32" s="18">
        <f>'8. Motor de Cenarios'!H18</f>
        <v/>
      </c>
      <c r="D32" s="91">
        <f>'8. Motor de Cenarios'!B19</f>
        <v/>
      </c>
      <c r="E32" s="18">
        <f>'8. Motor de Cenarios'!H19</f>
        <v/>
      </c>
      <c r="F32" s="22">
        <f>ABS(E32-C32)</f>
        <v/>
      </c>
      <c r="G32" s="20">
        <f>F32/'8. Motor de Cenarios'!$H$8</f>
        <v/>
      </c>
      <c r="H32" s="122" t="n"/>
      <c r="I32" s="122" t="n"/>
      <c r="J32" s="122" t="n"/>
      <c r="K32" s="122" t="n"/>
      <c r="L32" s="122" t="n"/>
      <c r="M32" s="122" t="n"/>
      <c r="N32" s="122" t="n"/>
      <c r="O32" s="122" t="n"/>
    </row>
    <row r="33">
      <c r="A33" s="122" t="n"/>
      <c r="B33" s="122" t="n"/>
      <c r="C33" s="122" t="n"/>
      <c r="D33" s="122" t="n"/>
      <c r="E33" s="122" t="n"/>
      <c r="F33" s="122" t="n"/>
      <c r="G33" s="122" t="n"/>
      <c r="H33" s="122" t="n"/>
      <c r="I33" s="122" t="n"/>
      <c r="J33" s="122" t="n"/>
      <c r="K33" s="122" t="n"/>
      <c r="L33" s="122" t="n"/>
      <c r="M33" s="122" t="n"/>
      <c r="N33" s="122" t="n"/>
      <c r="O33" s="122" t="n"/>
    </row>
    <row r="34">
      <c r="A34" s="15" t="inlineStr">
        <is>
          <t>C. SENSIBILIDADE DO VPL AO CUSTO DE CAPITAL</t>
        </is>
      </c>
      <c r="B34" s="126" t="n"/>
      <c r="C34" s="126" t="n"/>
      <c r="D34" s="126" t="n"/>
      <c r="E34" s="126" t="n"/>
      <c r="F34" s="126" t="n"/>
      <c r="G34" s="126" t="n"/>
      <c r="H34" s="126" t="n"/>
      <c r="I34" s="126" t="n"/>
      <c r="J34" s="126" t="n"/>
      <c r="K34" s="126" t="n"/>
      <c r="L34" s="126" t="n"/>
      <c r="M34" s="126" t="n"/>
      <c r="N34" s="122" t="n"/>
      <c r="O34" s="122" t="n"/>
    </row>
    <row r="35">
      <c r="A35" s="2" t="inlineStr">
        <is>
          <t>O fluxo de caixa não depende da taxa: esta linha é exata.</t>
        </is>
      </c>
      <c r="B35" s="122" t="n"/>
      <c r="C35" s="122" t="n"/>
      <c r="D35" s="122" t="n"/>
      <c r="E35" s="122" t="n"/>
      <c r="F35" s="122" t="n"/>
      <c r="G35" s="122" t="n"/>
      <c r="H35" s="122" t="n"/>
      <c r="I35" s="122" t="n"/>
      <c r="J35" s="122" t="n"/>
      <c r="K35" s="122" t="n"/>
      <c r="L35" s="122" t="n"/>
      <c r="M35" s="122" t="n"/>
      <c r="N35" s="122" t="n"/>
      <c r="O35" s="122" t="n"/>
    </row>
    <row r="36">
      <c r="A36" s="10" t="inlineStr">
        <is>
          <t>Taxa de desconto</t>
        </is>
      </c>
      <c r="B36" s="92" t="n">
        <v>0.1225</v>
      </c>
      <c r="C36" s="92" t="n">
        <v>0.14</v>
      </c>
      <c r="D36" s="92" t="n">
        <v>0.16</v>
      </c>
      <c r="E36" s="92" t="n">
        <v>0.18</v>
      </c>
      <c r="F36" s="92" t="n">
        <v>0.2</v>
      </c>
      <c r="G36" s="92" t="n">
        <v>0.22</v>
      </c>
      <c r="H36" s="92" t="n">
        <v>0.24</v>
      </c>
      <c r="I36" s="122" t="n"/>
      <c r="J36" s="122" t="n"/>
      <c r="K36" s="122" t="n"/>
      <c r="L36" s="122" t="n"/>
      <c r="M36" s="122" t="n"/>
      <c r="N36" s="122" t="n"/>
      <c r="O36" s="122" t="n"/>
    </row>
    <row r="37">
      <c r="A37" s="21" t="inlineStr">
        <is>
          <t>VPL sem valor terminal</t>
        </is>
      </c>
      <c r="B37" s="38">
        <f>SUMPRODUCT('5. Fluxo de Caixa'!$C$28:$M$28,1/(1+B$36)^'5. Fluxo de Caixa'!$C$7:$M$7)</f>
        <v/>
      </c>
      <c r="C37" s="38">
        <f>SUMPRODUCT('5. Fluxo de Caixa'!$C$28:$M$28,1/(1+C$36)^'5. Fluxo de Caixa'!$C$7:$M$7)</f>
        <v/>
      </c>
      <c r="D37" s="38">
        <f>SUMPRODUCT('5. Fluxo de Caixa'!$C$28:$M$28,1/(1+D$36)^'5. Fluxo de Caixa'!$C$7:$M$7)</f>
        <v/>
      </c>
      <c r="E37" s="38">
        <f>SUMPRODUCT('5. Fluxo de Caixa'!$C$28:$M$28,1/(1+E$36)^'5. Fluxo de Caixa'!$C$7:$M$7)</f>
        <v/>
      </c>
      <c r="F37" s="38">
        <f>SUMPRODUCT('5. Fluxo de Caixa'!$C$28:$M$28,1/(1+F$36)^'5. Fluxo de Caixa'!$C$7:$M$7)</f>
        <v/>
      </c>
      <c r="G37" s="38">
        <f>SUMPRODUCT('5. Fluxo de Caixa'!$C$28:$M$28,1/(1+G$36)^'5. Fluxo de Caixa'!$C$7:$M$7)</f>
        <v/>
      </c>
      <c r="H37" s="38">
        <f>SUMPRODUCT('5. Fluxo de Caixa'!$C$28:$M$28,1/(1+H$36)^'5. Fluxo de Caixa'!$C$7:$M$7)</f>
        <v/>
      </c>
      <c r="I37" s="122" t="n"/>
      <c r="J37" s="122" t="n"/>
      <c r="K37" s="122" t="n"/>
      <c r="L37" s="122" t="n"/>
      <c r="M37" s="122" t="n"/>
      <c r="N37" s="122" t="n"/>
      <c r="O37" s="122" t="n"/>
    </row>
    <row r="38">
      <c r="A38" s="93" t="inlineStr">
        <is>
          <t>VPL ao WACC do modelo</t>
        </is>
      </c>
      <c r="B38" s="136">
        <f>'6. Valuation'!C18</f>
        <v/>
      </c>
      <c r="C38" s="122" t="n"/>
      <c r="D38" s="122" t="n"/>
      <c r="E38" s="122" t="n"/>
      <c r="F38" s="122" t="n"/>
      <c r="G38" s="122" t="n"/>
      <c r="H38" s="122" t="n"/>
      <c r="I38" s="122" t="n"/>
      <c r="J38" s="122" t="n"/>
      <c r="K38" s="122" t="n"/>
      <c r="L38" s="122" t="n"/>
      <c r="M38" s="122" t="n"/>
      <c r="N38" s="122" t="n"/>
      <c r="O38" s="122" t="n"/>
    </row>
    <row r="39">
      <c r="A39" s="122" t="n"/>
      <c r="B39" s="122" t="n"/>
      <c r="C39" s="122" t="n"/>
      <c r="D39" s="122" t="n"/>
      <c r="E39" s="122" t="n"/>
      <c r="F39" s="122" t="n"/>
      <c r="G39" s="122" t="n"/>
      <c r="H39" s="122" t="n"/>
      <c r="I39" s="122" t="n"/>
      <c r="J39" s="122" t="n"/>
      <c r="K39" s="122" t="n"/>
      <c r="L39" s="122" t="n"/>
      <c r="M39" s="122" t="n"/>
      <c r="N39" s="122" t="n"/>
      <c r="O39" s="122" t="n"/>
    </row>
    <row r="40">
      <c r="A40" s="15" t="inlineStr">
        <is>
          <t>D. VPL COM PERPETUIDADE — taxa de desconto x crescimento na perpetuidade</t>
        </is>
      </c>
      <c r="B40" s="126" t="n"/>
      <c r="C40" s="126" t="n"/>
      <c r="D40" s="126" t="n"/>
      <c r="E40" s="126" t="n"/>
      <c r="F40" s="126" t="n"/>
      <c r="G40" s="126" t="n"/>
      <c r="H40" s="126" t="n"/>
      <c r="I40" s="126" t="n"/>
      <c r="J40" s="126" t="n"/>
      <c r="K40" s="126" t="n"/>
      <c r="L40" s="126" t="n"/>
      <c r="M40" s="126" t="n"/>
      <c r="N40" s="122" t="n"/>
      <c r="O40" s="122" t="n"/>
    </row>
    <row r="41">
      <c r="A41" s="10" t="inlineStr">
        <is>
          <t>VPL (R$)</t>
        </is>
      </c>
      <c r="B41" s="94" t="n">
        <v>0</v>
      </c>
      <c r="C41" s="94" t="n">
        <v>0.01</v>
      </c>
      <c r="D41" s="94" t="n">
        <v>0.02</v>
      </c>
      <c r="E41" s="94" t="n">
        <v>0.03</v>
      </c>
      <c r="F41" s="94" t="n">
        <v>0.04</v>
      </c>
      <c r="G41" s="122" t="n"/>
      <c r="H41" s="122" t="n"/>
      <c r="I41" s="122" t="n"/>
      <c r="J41" s="122" t="n"/>
      <c r="K41" s="122" t="n"/>
      <c r="L41" s="122" t="n"/>
      <c r="M41" s="122" t="n"/>
      <c r="N41" s="122" t="n"/>
      <c r="O41" s="122" t="n"/>
    </row>
    <row r="42">
      <c r="A42" s="92" t="n">
        <v>0.1225</v>
      </c>
      <c r="B42" s="38">
        <f>IF($A42&lt;=B$41,"n/a",SUMPRODUCT('5. Fluxo de Caixa'!$C$28:$M$28,1/(1+$A42)^'5. Fluxo de Caixa'!$C$7:$M$7)+('5. Fluxo de Caixa'!$M$28-'5. Fluxo de Caixa'!$M$27)*(1+B$41)/($A42-B$41)/(1+$A42)^10)</f>
        <v/>
      </c>
      <c r="C42" s="38">
        <f>IF($A42&lt;=C$41,"n/a",SUMPRODUCT('5. Fluxo de Caixa'!$C$28:$M$28,1/(1+$A42)^'5. Fluxo de Caixa'!$C$7:$M$7)+('5. Fluxo de Caixa'!$M$28-'5. Fluxo de Caixa'!$M$27)*(1+C$41)/($A42-C$41)/(1+$A42)^10)</f>
        <v/>
      </c>
      <c r="D42" s="38">
        <f>IF($A42&lt;=D$41,"n/a",SUMPRODUCT('5. Fluxo de Caixa'!$C$28:$M$28,1/(1+$A42)^'5. Fluxo de Caixa'!$C$7:$M$7)+('5. Fluxo de Caixa'!$M$28-'5. Fluxo de Caixa'!$M$27)*(1+D$41)/($A42-D$41)/(1+$A42)^10)</f>
        <v/>
      </c>
      <c r="E42" s="38">
        <f>IF($A42&lt;=E$41,"n/a",SUMPRODUCT('5. Fluxo de Caixa'!$C$28:$M$28,1/(1+$A42)^'5. Fluxo de Caixa'!$C$7:$M$7)+('5. Fluxo de Caixa'!$M$28-'5. Fluxo de Caixa'!$M$27)*(1+E$41)/($A42-E$41)/(1+$A42)^10)</f>
        <v/>
      </c>
      <c r="F42" s="38">
        <f>IF($A42&lt;=F$41,"n/a",SUMPRODUCT('5. Fluxo de Caixa'!$C$28:$M$28,1/(1+$A42)^'5. Fluxo de Caixa'!$C$7:$M$7)+('5. Fluxo de Caixa'!$M$28-'5. Fluxo de Caixa'!$M$27)*(1+F$41)/($A42-F$41)/(1+$A42)^10)</f>
        <v/>
      </c>
      <c r="G42" s="122" t="n"/>
      <c r="H42" s="122" t="n"/>
      <c r="I42" s="122" t="n"/>
      <c r="J42" s="122" t="n"/>
      <c r="K42" s="122" t="n"/>
      <c r="L42" s="122" t="n"/>
      <c r="M42" s="122" t="n"/>
      <c r="N42" s="122" t="n"/>
      <c r="O42" s="122" t="n"/>
    </row>
    <row r="43">
      <c r="A43" s="92" t="n">
        <v>0.14</v>
      </c>
      <c r="B43" s="38">
        <f>IF($A43&lt;=B$41,"n/a",SUMPRODUCT('5. Fluxo de Caixa'!$C$28:$M$28,1/(1+$A43)^'5. Fluxo de Caixa'!$C$7:$M$7)+('5. Fluxo de Caixa'!$M$28-'5. Fluxo de Caixa'!$M$27)*(1+B$41)/($A43-B$41)/(1+$A43)^10)</f>
        <v/>
      </c>
      <c r="C43" s="38">
        <f>IF($A43&lt;=C$41,"n/a",SUMPRODUCT('5. Fluxo de Caixa'!$C$28:$M$28,1/(1+$A43)^'5. Fluxo de Caixa'!$C$7:$M$7)+('5. Fluxo de Caixa'!$M$28-'5. Fluxo de Caixa'!$M$27)*(1+C$41)/($A43-C$41)/(1+$A43)^10)</f>
        <v/>
      </c>
      <c r="D43" s="38">
        <f>IF($A43&lt;=D$41,"n/a",SUMPRODUCT('5. Fluxo de Caixa'!$C$28:$M$28,1/(1+$A43)^'5. Fluxo de Caixa'!$C$7:$M$7)+('5. Fluxo de Caixa'!$M$28-'5. Fluxo de Caixa'!$M$27)*(1+D$41)/($A43-D$41)/(1+$A43)^10)</f>
        <v/>
      </c>
      <c r="E43" s="38">
        <f>IF($A43&lt;=E$41,"n/a",SUMPRODUCT('5. Fluxo de Caixa'!$C$28:$M$28,1/(1+$A43)^'5. Fluxo de Caixa'!$C$7:$M$7)+('5. Fluxo de Caixa'!$M$28-'5. Fluxo de Caixa'!$M$27)*(1+E$41)/($A43-E$41)/(1+$A43)^10)</f>
        <v/>
      </c>
      <c r="F43" s="38">
        <f>IF($A43&lt;=F$41,"n/a",SUMPRODUCT('5. Fluxo de Caixa'!$C$28:$M$28,1/(1+$A43)^'5. Fluxo de Caixa'!$C$7:$M$7)+('5. Fluxo de Caixa'!$M$28-'5. Fluxo de Caixa'!$M$27)*(1+F$41)/($A43-F$41)/(1+$A43)^10)</f>
        <v/>
      </c>
      <c r="G43" s="122" t="n"/>
      <c r="H43" s="122" t="n"/>
      <c r="I43" s="122" t="n"/>
      <c r="J43" s="122" t="n"/>
      <c r="K43" s="122" t="n"/>
      <c r="L43" s="122" t="n"/>
      <c r="M43" s="122" t="n"/>
      <c r="N43" s="122" t="n"/>
      <c r="O43" s="122" t="n"/>
    </row>
    <row r="44">
      <c r="A44" s="92" t="n">
        <v>0.16</v>
      </c>
      <c r="B44" s="38">
        <f>IF($A44&lt;=B$41,"n/a",SUMPRODUCT('5. Fluxo de Caixa'!$C$28:$M$28,1/(1+$A44)^'5. Fluxo de Caixa'!$C$7:$M$7)+('5. Fluxo de Caixa'!$M$28-'5. Fluxo de Caixa'!$M$27)*(1+B$41)/($A44-B$41)/(1+$A44)^10)</f>
        <v/>
      </c>
      <c r="C44" s="38">
        <f>IF($A44&lt;=C$41,"n/a",SUMPRODUCT('5. Fluxo de Caixa'!$C$28:$M$28,1/(1+$A44)^'5. Fluxo de Caixa'!$C$7:$M$7)+('5. Fluxo de Caixa'!$M$28-'5. Fluxo de Caixa'!$M$27)*(1+C$41)/($A44-C$41)/(1+$A44)^10)</f>
        <v/>
      </c>
      <c r="D44" s="38">
        <f>IF($A44&lt;=D$41,"n/a",SUMPRODUCT('5. Fluxo de Caixa'!$C$28:$M$28,1/(1+$A44)^'5. Fluxo de Caixa'!$C$7:$M$7)+('5. Fluxo de Caixa'!$M$28-'5. Fluxo de Caixa'!$M$27)*(1+D$41)/($A44-D$41)/(1+$A44)^10)</f>
        <v/>
      </c>
      <c r="E44" s="38">
        <f>IF($A44&lt;=E$41,"n/a",SUMPRODUCT('5. Fluxo de Caixa'!$C$28:$M$28,1/(1+$A44)^'5. Fluxo de Caixa'!$C$7:$M$7)+('5. Fluxo de Caixa'!$M$28-'5. Fluxo de Caixa'!$M$27)*(1+E$41)/($A44-E$41)/(1+$A44)^10)</f>
        <v/>
      </c>
      <c r="F44" s="38">
        <f>IF($A44&lt;=F$41,"n/a",SUMPRODUCT('5. Fluxo de Caixa'!$C$28:$M$28,1/(1+$A44)^'5. Fluxo de Caixa'!$C$7:$M$7)+('5. Fluxo de Caixa'!$M$28-'5. Fluxo de Caixa'!$M$27)*(1+F$41)/($A44-F$41)/(1+$A44)^10)</f>
        <v/>
      </c>
      <c r="G44" s="122" t="n"/>
      <c r="H44" s="122" t="n"/>
      <c r="I44" s="122" t="n"/>
      <c r="J44" s="122" t="n"/>
      <c r="K44" s="122" t="n"/>
      <c r="L44" s="122" t="n"/>
      <c r="M44" s="122" t="n"/>
      <c r="N44" s="122" t="n"/>
      <c r="O44" s="122" t="n"/>
    </row>
    <row r="45">
      <c r="A45" s="92" t="n">
        <v>0.18</v>
      </c>
      <c r="B45" s="38">
        <f>IF($A45&lt;=B$41,"n/a",SUMPRODUCT('5. Fluxo de Caixa'!$C$28:$M$28,1/(1+$A45)^'5. Fluxo de Caixa'!$C$7:$M$7)+('5. Fluxo de Caixa'!$M$28-'5. Fluxo de Caixa'!$M$27)*(1+B$41)/($A45-B$41)/(1+$A45)^10)</f>
        <v/>
      </c>
      <c r="C45" s="38">
        <f>IF($A45&lt;=C$41,"n/a",SUMPRODUCT('5. Fluxo de Caixa'!$C$28:$M$28,1/(1+$A45)^'5. Fluxo de Caixa'!$C$7:$M$7)+('5. Fluxo de Caixa'!$M$28-'5. Fluxo de Caixa'!$M$27)*(1+C$41)/($A45-C$41)/(1+$A45)^10)</f>
        <v/>
      </c>
      <c r="D45" s="38">
        <f>IF($A45&lt;=D$41,"n/a",SUMPRODUCT('5. Fluxo de Caixa'!$C$28:$M$28,1/(1+$A45)^'5. Fluxo de Caixa'!$C$7:$M$7)+('5. Fluxo de Caixa'!$M$28-'5. Fluxo de Caixa'!$M$27)*(1+D$41)/($A45-D$41)/(1+$A45)^10)</f>
        <v/>
      </c>
      <c r="E45" s="38">
        <f>IF($A45&lt;=E$41,"n/a",SUMPRODUCT('5. Fluxo de Caixa'!$C$28:$M$28,1/(1+$A45)^'5. Fluxo de Caixa'!$C$7:$M$7)+('5. Fluxo de Caixa'!$M$28-'5. Fluxo de Caixa'!$M$27)*(1+E$41)/($A45-E$41)/(1+$A45)^10)</f>
        <v/>
      </c>
      <c r="F45" s="38">
        <f>IF($A45&lt;=F$41,"n/a",SUMPRODUCT('5. Fluxo de Caixa'!$C$28:$M$28,1/(1+$A45)^'5. Fluxo de Caixa'!$C$7:$M$7)+('5. Fluxo de Caixa'!$M$28-'5. Fluxo de Caixa'!$M$27)*(1+F$41)/($A45-F$41)/(1+$A45)^10)</f>
        <v/>
      </c>
      <c r="G45" s="122" t="n"/>
      <c r="H45" s="122" t="n"/>
      <c r="I45" s="122" t="n"/>
      <c r="J45" s="122" t="n"/>
      <c r="K45" s="122" t="n"/>
      <c r="L45" s="122" t="n"/>
      <c r="M45" s="122" t="n"/>
      <c r="N45" s="122" t="n"/>
      <c r="O45" s="122" t="n"/>
    </row>
    <row r="46">
      <c r="A46" s="92" t="n">
        <v>0.2</v>
      </c>
      <c r="B46" s="38">
        <f>IF($A46&lt;=B$41,"n/a",SUMPRODUCT('5. Fluxo de Caixa'!$C$28:$M$28,1/(1+$A46)^'5. Fluxo de Caixa'!$C$7:$M$7)+('5. Fluxo de Caixa'!$M$28-'5. Fluxo de Caixa'!$M$27)*(1+B$41)/($A46-B$41)/(1+$A46)^10)</f>
        <v/>
      </c>
      <c r="C46" s="38">
        <f>IF($A46&lt;=C$41,"n/a",SUMPRODUCT('5. Fluxo de Caixa'!$C$28:$M$28,1/(1+$A46)^'5. Fluxo de Caixa'!$C$7:$M$7)+('5. Fluxo de Caixa'!$M$28-'5. Fluxo de Caixa'!$M$27)*(1+C$41)/($A46-C$41)/(1+$A46)^10)</f>
        <v/>
      </c>
      <c r="D46" s="38">
        <f>IF($A46&lt;=D$41,"n/a",SUMPRODUCT('5. Fluxo de Caixa'!$C$28:$M$28,1/(1+$A46)^'5. Fluxo de Caixa'!$C$7:$M$7)+('5. Fluxo de Caixa'!$M$28-'5. Fluxo de Caixa'!$M$27)*(1+D$41)/($A46-D$41)/(1+$A46)^10)</f>
        <v/>
      </c>
      <c r="E46" s="38">
        <f>IF($A46&lt;=E$41,"n/a",SUMPRODUCT('5. Fluxo de Caixa'!$C$28:$M$28,1/(1+$A46)^'5. Fluxo de Caixa'!$C$7:$M$7)+('5. Fluxo de Caixa'!$M$28-'5. Fluxo de Caixa'!$M$27)*(1+E$41)/($A46-E$41)/(1+$A46)^10)</f>
        <v/>
      </c>
      <c r="F46" s="38">
        <f>IF($A46&lt;=F$41,"n/a",SUMPRODUCT('5. Fluxo de Caixa'!$C$28:$M$28,1/(1+$A46)^'5. Fluxo de Caixa'!$C$7:$M$7)+('5. Fluxo de Caixa'!$M$28-'5. Fluxo de Caixa'!$M$27)*(1+F$41)/($A46-F$41)/(1+$A46)^10)</f>
        <v/>
      </c>
      <c r="G46" s="122" t="n"/>
      <c r="H46" s="122" t="n"/>
      <c r="I46" s="122" t="n"/>
      <c r="J46" s="122" t="n"/>
      <c r="K46" s="122" t="n"/>
      <c r="L46" s="122" t="n"/>
      <c r="M46" s="122" t="n"/>
      <c r="N46" s="122" t="n"/>
      <c r="O46" s="122" t="n"/>
    </row>
    <row r="47">
      <c r="A47" s="92" t="n">
        <v>0.22</v>
      </c>
      <c r="B47" s="38">
        <f>IF($A47&lt;=B$41,"n/a",SUMPRODUCT('5. Fluxo de Caixa'!$C$28:$M$28,1/(1+$A47)^'5. Fluxo de Caixa'!$C$7:$M$7)+('5. Fluxo de Caixa'!$M$28-'5. Fluxo de Caixa'!$M$27)*(1+B$41)/($A47-B$41)/(1+$A47)^10)</f>
        <v/>
      </c>
      <c r="C47" s="38">
        <f>IF($A47&lt;=C$41,"n/a",SUMPRODUCT('5. Fluxo de Caixa'!$C$28:$M$28,1/(1+$A47)^'5. Fluxo de Caixa'!$C$7:$M$7)+('5. Fluxo de Caixa'!$M$28-'5. Fluxo de Caixa'!$M$27)*(1+C$41)/($A47-C$41)/(1+$A47)^10)</f>
        <v/>
      </c>
      <c r="D47" s="38">
        <f>IF($A47&lt;=D$41,"n/a",SUMPRODUCT('5. Fluxo de Caixa'!$C$28:$M$28,1/(1+$A47)^'5. Fluxo de Caixa'!$C$7:$M$7)+('5. Fluxo de Caixa'!$M$28-'5. Fluxo de Caixa'!$M$27)*(1+D$41)/($A47-D$41)/(1+$A47)^10)</f>
        <v/>
      </c>
      <c r="E47" s="38">
        <f>IF($A47&lt;=E$41,"n/a",SUMPRODUCT('5. Fluxo de Caixa'!$C$28:$M$28,1/(1+$A47)^'5. Fluxo de Caixa'!$C$7:$M$7)+('5. Fluxo de Caixa'!$M$28-'5. Fluxo de Caixa'!$M$27)*(1+E$41)/($A47-E$41)/(1+$A47)^10)</f>
        <v/>
      </c>
      <c r="F47" s="38">
        <f>IF($A47&lt;=F$41,"n/a",SUMPRODUCT('5. Fluxo de Caixa'!$C$28:$M$28,1/(1+$A47)^'5. Fluxo de Caixa'!$C$7:$M$7)+('5. Fluxo de Caixa'!$M$28-'5. Fluxo de Caixa'!$M$27)*(1+F$41)/($A47-F$41)/(1+$A47)^10)</f>
        <v/>
      </c>
      <c r="G47" s="122" t="n"/>
      <c r="H47" s="122" t="n"/>
      <c r="I47" s="122" t="n"/>
      <c r="J47" s="122" t="n"/>
      <c r="K47" s="122" t="n"/>
      <c r="L47" s="122" t="n"/>
      <c r="M47" s="122" t="n"/>
      <c r="N47" s="122" t="n"/>
      <c r="O47" s="122" t="n"/>
    </row>
    <row r="48">
      <c r="A48" s="92" t="n">
        <v>0.24</v>
      </c>
      <c r="B48" s="38">
        <f>IF($A48&lt;=B$41,"n/a",SUMPRODUCT('5. Fluxo de Caixa'!$C$28:$M$28,1/(1+$A48)^'5. Fluxo de Caixa'!$C$7:$M$7)+('5. Fluxo de Caixa'!$M$28-'5. Fluxo de Caixa'!$M$27)*(1+B$41)/($A48-B$41)/(1+$A48)^10)</f>
        <v/>
      </c>
      <c r="C48" s="38">
        <f>IF($A48&lt;=C$41,"n/a",SUMPRODUCT('5. Fluxo de Caixa'!$C$28:$M$28,1/(1+$A48)^'5. Fluxo de Caixa'!$C$7:$M$7)+('5. Fluxo de Caixa'!$M$28-'5. Fluxo de Caixa'!$M$27)*(1+C$41)/($A48-C$41)/(1+$A48)^10)</f>
        <v/>
      </c>
      <c r="D48" s="38">
        <f>IF($A48&lt;=D$41,"n/a",SUMPRODUCT('5. Fluxo de Caixa'!$C$28:$M$28,1/(1+$A48)^'5. Fluxo de Caixa'!$C$7:$M$7)+('5. Fluxo de Caixa'!$M$28-'5. Fluxo de Caixa'!$M$27)*(1+D$41)/($A48-D$41)/(1+$A48)^10)</f>
        <v/>
      </c>
      <c r="E48" s="38">
        <f>IF($A48&lt;=E$41,"n/a",SUMPRODUCT('5. Fluxo de Caixa'!$C$28:$M$28,1/(1+$A48)^'5. Fluxo de Caixa'!$C$7:$M$7)+('5. Fluxo de Caixa'!$M$28-'5. Fluxo de Caixa'!$M$27)*(1+E$41)/($A48-E$41)/(1+$A48)^10)</f>
        <v/>
      </c>
      <c r="F48" s="38">
        <f>IF($A48&lt;=F$41,"n/a",SUMPRODUCT('5. Fluxo de Caixa'!$C$28:$M$28,1/(1+$A48)^'5. Fluxo de Caixa'!$C$7:$M$7)+('5. Fluxo de Caixa'!$M$28-'5. Fluxo de Caixa'!$M$27)*(1+F$41)/($A48-F$41)/(1+$A48)^10)</f>
        <v/>
      </c>
      <c r="G48" s="122" t="n"/>
      <c r="H48" s="122" t="n"/>
      <c r="I48" s="122" t="n"/>
      <c r="J48" s="122" t="n"/>
      <c r="K48" s="122" t="n"/>
      <c r="L48" s="122" t="n"/>
      <c r="M48" s="122" t="n"/>
      <c r="N48" s="122" t="n"/>
      <c r="O48" s="122" t="n"/>
    </row>
    <row r="49">
      <c r="A49" s="122" t="n"/>
      <c r="B49" s="122" t="n"/>
      <c r="C49" s="122" t="n"/>
      <c r="D49" s="122" t="n"/>
      <c r="E49" s="122" t="n"/>
      <c r="F49" s="122" t="n"/>
      <c r="G49" s="122" t="n"/>
      <c r="H49" s="122" t="n"/>
      <c r="I49" s="122" t="n"/>
      <c r="J49" s="122" t="n"/>
      <c r="K49" s="122" t="n"/>
      <c r="L49" s="122" t="n"/>
      <c r="M49" s="122" t="n"/>
      <c r="N49" s="122" t="n"/>
      <c r="O49" s="122" t="n"/>
    </row>
    <row r="50">
      <c r="A50" s="15" t="inlineStr">
        <is>
          <t>E. PONTO DE EQUILÍBRIO</t>
        </is>
      </c>
      <c r="B50" s="126" t="n"/>
      <c r="C50" s="126" t="n"/>
      <c r="D50" s="126" t="n"/>
      <c r="E50" s="126" t="n"/>
      <c r="F50" s="126" t="n"/>
      <c r="G50" s="126" t="n"/>
      <c r="H50" s="126" t="n"/>
      <c r="I50" s="126" t="n"/>
      <c r="J50" s="126" t="n"/>
      <c r="K50" s="126" t="n"/>
      <c r="L50" s="126" t="n"/>
      <c r="M50" s="126" t="n"/>
      <c r="N50" s="122" t="n"/>
      <c r="O50" s="122" t="n"/>
    </row>
    <row r="51">
      <c r="A51" s="10" t="inlineStr">
        <is>
          <t>Ano</t>
        </is>
      </c>
      <c r="B51" s="122" t="n"/>
      <c r="C51" s="11" t="n">
        <v>0</v>
      </c>
      <c r="D51" s="11" t="n">
        <v>1</v>
      </c>
      <c r="E51" s="11" t="n">
        <v>2</v>
      </c>
      <c r="F51" s="11" t="n">
        <v>3</v>
      </c>
      <c r="G51" s="11" t="n">
        <v>4</v>
      </c>
      <c r="H51" s="11" t="n">
        <v>5</v>
      </c>
      <c r="I51" s="11" t="n">
        <v>6</v>
      </c>
      <c r="J51" s="11" t="n">
        <v>7</v>
      </c>
      <c r="K51" s="11" t="n">
        <v>8</v>
      </c>
      <c r="L51" s="11" t="n">
        <v>9</v>
      </c>
      <c r="M51" s="11" t="n">
        <v>10</v>
      </c>
      <c r="N51" s="122" t="n"/>
      <c r="O51" s="122" t="n"/>
    </row>
    <row r="52">
      <c r="A52" s="12" t="inlineStr">
        <is>
          <t>Exercício</t>
        </is>
      </c>
      <c r="B52" s="125" t="n"/>
      <c r="C52" s="14" t="inlineStr">
        <is>
          <t>2023</t>
        </is>
      </c>
      <c r="D52" s="14" t="inlineStr">
        <is>
          <t>2024</t>
        </is>
      </c>
      <c r="E52" s="14" t="inlineStr">
        <is>
          <t>2025</t>
        </is>
      </c>
      <c r="F52" s="14" t="inlineStr">
        <is>
          <t>2026</t>
        </is>
      </c>
      <c r="G52" s="14" t="inlineStr">
        <is>
          <t>2027</t>
        </is>
      </c>
      <c r="H52" s="14" t="inlineStr">
        <is>
          <t>2028</t>
        </is>
      </c>
      <c r="I52" s="14" t="inlineStr">
        <is>
          <t>2029</t>
        </is>
      </c>
      <c r="J52" s="14" t="inlineStr">
        <is>
          <t>2030</t>
        </is>
      </c>
      <c r="K52" s="14" t="inlineStr">
        <is>
          <t>2031</t>
        </is>
      </c>
      <c r="L52" s="14" t="inlineStr">
        <is>
          <t>2032</t>
        </is>
      </c>
      <c r="M52" s="14" t="inlineStr">
        <is>
          <t>2033</t>
        </is>
      </c>
      <c r="N52" s="122" t="n"/>
      <c r="O52" s="122" t="n"/>
    </row>
    <row r="53">
      <c r="A53" s="17" t="inlineStr">
        <is>
          <t>Margem de contribuição unitária</t>
        </is>
      </c>
      <c r="B53" s="2" t="inlineStr">
        <is>
          <t>R$/un</t>
        </is>
      </c>
      <c r="C53" s="122" t="n"/>
      <c r="D53" s="95">
        <f>'4. DRE'!D55</f>
        <v/>
      </c>
      <c r="E53" s="95">
        <f>'4. DRE'!E55</f>
        <v/>
      </c>
      <c r="F53" s="95">
        <f>'4. DRE'!F55</f>
        <v/>
      </c>
      <c r="G53" s="95">
        <f>'4. DRE'!G55</f>
        <v/>
      </c>
      <c r="H53" s="95">
        <f>'4. DRE'!H55</f>
        <v/>
      </c>
      <c r="I53" s="95">
        <f>'4. DRE'!I55</f>
        <v/>
      </c>
      <c r="J53" s="95">
        <f>'4. DRE'!J55</f>
        <v/>
      </c>
      <c r="K53" s="95">
        <f>'4. DRE'!K55</f>
        <v/>
      </c>
      <c r="L53" s="95">
        <f>'4. DRE'!L55</f>
        <v/>
      </c>
      <c r="M53" s="95">
        <f>'4. DRE'!M55</f>
        <v/>
      </c>
      <c r="N53" s="122" t="n"/>
      <c r="O53" s="122" t="n"/>
    </row>
    <row r="54">
      <c r="A54" s="17" t="inlineStr">
        <is>
          <t>Custo fixo de caixa</t>
        </is>
      </c>
      <c r="B54" s="2" t="inlineStr">
        <is>
          <t>R$</t>
        </is>
      </c>
      <c r="C54" s="122" t="n"/>
      <c r="D54" s="18">
        <f>'4. DRE'!D56</f>
        <v/>
      </c>
      <c r="E54" s="18">
        <f>'4. DRE'!E56</f>
        <v/>
      </c>
      <c r="F54" s="18">
        <f>'4. DRE'!F56</f>
        <v/>
      </c>
      <c r="G54" s="18">
        <f>'4. DRE'!G56</f>
        <v/>
      </c>
      <c r="H54" s="18">
        <f>'4. DRE'!H56</f>
        <v/>
      </c>
      <c r="I54" s="18">
        <f>'4. DRE'!I56</f>
        <v/>
      </c>
      <c r="J54" s="18">
        <f>'4. DRE'!J56</f>
        <v/>
      </c>
      <c r="K54" s="18">
        <f>'4. DRE'!K56</f>
        <v/>
      </c>
      <c r="L54" s="18">
        <f>'4. DRE'!L56</f>
        <v/>
      </c>
      <c r="M54" s="18">
        <f>'4. DRE'!M56</f>
        <v/>
      </c>
      <c r="N54" s="122" t="n"/>
      <c r="O54" s="122" t="n"/>
    </row>
    <row r="55">
      <c r="A55" s="17" t="inlineStr">
        <is>
          <t>Depreciação</t>
        </is>
      </c>
      <c r="B55" s="2" t="inlineStr">
        <is>
          <t>R$</t>
        </is>
      </c>
      <c r="C55" s="122" t="n"/>
      <c r="D55" s="18">
        <f>-'4. DRE'!D41</f>
        <v/>
      </c>
      <c r="E55" s="18">
        <f>-'4. DRE'!E41</f>
        <v/>
      </c>
      <c r="F55" s="18">
        <f>-'4. DRE'!F41</f>
        <v/>
      </c>
      <c r="G55" s="18">
        <f>-'4. DRE'!G41</f>
        <v/>
      </c>
      <c r="H55" s="18">
        <f>-'4. DRE'!H41</f>
        <v/>
      </c>
      <c r="I55" s="18">
        <f>-'4. DRE'!I41</f>
        <v/>
      </c>
      <c r="J55" s="18">
        <f>-'4. DRE'!J41</f>
        <v/>
      </c>
      <c r="K55" s="18">
        <f>-'4. DRE'!K41</f>
        <v/>
      </c>
      <c r="L55" s="18">
        <f>-'4. DRE'!L41</f>
        <v/>
      </c>
      <c r="M55" s="18">
        <f>-'4. DRE'!M41</f>
        <v/>
      </c>
      <c r="N55" s="122" t="n"/>
      <c r="O55" s="122" t="n"/>
    </row>
    <row r="56">
      <c r="A56" s="21" t="inlineStr">
        <is>
          <t>Ponto de equilíbrio contábil</t>
        </is>
      </c>
      <c r="B56" s="2" t="inlineStr">
        <is>
          <t>un/ano</t>
        </is>
      </c>
      <c r="C56" s="122" t="n"/>
      <c r="D56" s="22">
        <f>(D54+D55)/D53</f>
        <v/>
      </c>
      <c r="E56" s="22">
        <f>(E54+E55)/E53</f>
        <v/>
      </c>
      <c r="F56" s="22">
        <f>(F54+F55)/F53</f>
        <v/>
      </c>
      <c r="G56" s="22">
        <f>(G54+G55)/G53</f>
        <v/>
      </c>
      <c r="H56" s="22">
        <f>(H54+H55)/H53</f>
        <v/>
      </c>
      <c r="I56" s="22">
        <f>(I54+I55)/I53</f>
        <v/>
      </c>
      <c r="J56" s="22">
        <f>(J54+J55)/J53</f>
        <v/>
      </c>
      <c r="K56" s="22">
        <f>(K54+K55)/K53</f>
        <v/>
      </c>
      <c r="L56" s="22">
        <f>(L54+L55)/L53</f>
        <v/>
      </c>
      <c r="M56" s="22">
        <f>(M54+M55)/M53</f>
        <v/>
      </c>
      <c r="N56" s="122" t="n"/>
      <c r="O56" s="2" t="inlineStr">
        <is>
          <t>Cobre custo fixo de caixa + depreciação. É o que a origem calculava.</t>
        </is>
      </c>
    </row>
    <row r="57">
      <c r="A57" s="21" t="inlineStr">
        <is>
          <t>Ponto de equilíbrio de caixa</t>
        </is>
      </c>
      <c r="B57" s="2" t="inlineStr">
        <is>
          <t>un/ano</t>
        </is>
      </c>
      <c r="C57" s="122" t="n"/>
      <c r="D57" s="22">
        <f>D54/D53</f>
        <v/>
      </c>
      <c r="E57" s="22">
        <f>E54/E53</f>
        <v/>
      </c>
      <c r="F57" s="22">
        <f>F54/F53</f>
        <v/>
      </c>
      <c r="G57" s="22">
        <f>G54/G53</f>
        <v/>
      </c>
      <c r="H57" s="22">
        <f>H54/H53</f>
        <v/>
      </c>
      <c r="I57" s="22">
        <f>I54/I53</f>
        <v/>
      </c>
      <c r="J57" s="22">
        <f>J54/J53</f>
        <v/>
      </c>
      <c r="K57" s="22">
        <f>K54/K53</f>
        <v/>
      </c>
      <c r="L57" s="22">
        <f>L54/L53</f>
        <v/>
      </c>
      <c r="M57" s="22">
        <f>M54/M53</f>
        <v/>
      </c>
      <c r="N57" s="122" t="n"/>
      <c r="O57" s="2" t="inlineStr">
        <is>
          <t>Cobre só o custo fixo que exige caixa. É o volume abaixo do qual a planta queima caixa.</t>
        </is>
      </c>
    </row>
    <row r="58">
      <c r="A58" s="17" t="inlineStr">
        <is>
          <t>Volume do modelo</t>
        </is>
      </c>
      <c r="B58" s="2" t="inlineStr">
        <is>
          <t>un/ano</t>
        </is>
      </c>
      <c r="C58" s="122" t="n"/>
      <c r="D58" s="18">
        <f>'4. DRE'!D24</f>
        <v/>
      </c>
      <c r="E58" s="18">
        <f>'4. DRE'!E24</f>
        <v/>
      </c>
      <c r="F58" s="18">
        <f>'4. DRE'!F24</f>
        <v/>
      </c>
      <c r="G58" s="18">
        <f>'4. DRE'!G24</f>
        <v/>
      </c>
      <c r="H58" s="18">
        <f>'4. DRE'!H24</f>
        <v/>
      </c>
      <c r="I58" s="18">
        <f>'4. DRE'!I24</f>
        <v/>
      </c>
      <c r="J58" s="18">
        <f>'4. DRE'!J24</f>
        <v/>
      </c>
      <c r="K58" s="18">
        <f>'4. DRE'!K24</f>
        <v/>
      </c>
      <c r="L58" s="18">
        <f>'4. DRE'!L24</f>
        <v/>
      </c>
      <c r="M58" s="18">
        <f>'4. DRE'!M24</f>
        <v/>
      </c>
      <c r="N58" s="122" t="n"/>
      <c r="O58" s="122" t="n"/>
    </row>
    <row r="59">
      <c r="A59" s="17" t="inlineStr">
        <is>
          <t>Ocupação no ponto de equilíbrio contábil</t>
        </is>
      </c>
      <c r="B59" s="2" t="inlineStr">
        <is>
          <t>% do volume</t>
        </is>
      </c>
      <c r="C59" s="122" t="n"/>
      <c r="D59" s="20">
        <f>D56/D58</f>
        <v/>
      </c>
      <c r="E59" s="20">
        <f>E56/E58</f>
        <v/>
      </c>
      <c r="F59" s="20">
        <f>F56/F58</f>
        <v/>
      </c>
      <c r="G59" s="20">
        <f>G56/G58</f>
        <v/>
      </c>
      <c r="H59" s="20">
        <f>H56/H58</f>
        <v/>
      </c>
      <c r="I59" s="20">
        <f>I56/I58</f>
        <v/>
      </c>
      <c r="J59" s="20">
        <f>J56/J58</f>
        <v/>
      </c>
      <c r="K59" s="20">
        <f>K56/K58</f>
        <v/>
      </c>
      <c r="L59" s="20">
        <f>L56/L58</f>
        <v/>
      </c>
      <c r="M59" s="20">
        <f>M56/M58</f>
        <v/>
      </c>
      <c r="N59" s="122" t="n"/>
      <c r="O59" s="122" t="n"/>
    </row>
    <row r="60">
      <c r="A60" s="21" t="inlineStr">
        <is>
          <t>MARGEM DE SEGURANÇA</t>
        </is>
      </c>
      <c r="B60" s="2" t="inlineStr">
        <is>
          <t>% do volume</t>
        </is>
      </c>
      <c r="C60" s="122" t="n"/>
      <c r="D60" s="24">
        <f>1-D56/D58</f>
        <v/>
      </c>
      <c r="E60" s="24">
        <f>1-E56/E58</f>
        <v/>
      </c>
      <c r="F60" s="24">
        <f>1-F56/F58</f>
        <v/>
      </c>
      <c r="G60" s="24">
        <f>1-G56/G58</f>
        <v/>
      </c>
      <c r="H60" s="24">
        <f>1-H56/H58</f>
        <v/>
      </c>
      <c r="I60" s="24">
        <f>1-I56/I58</f>
        <v/>
      </c>
      <c r="J60" s="24">
        <f>1-J56/J58</f>
        <v/>
      </c>
      <c r="K60" s="24">
        <f>1-K56/K58</f>
        <v/>
      </c>
      <c r="L60" s="24">
        <f>1-L56/L58</f>
        <v/>
      </c>
      <c r="M60" s="24">
        <f>1-M56/M58</f>
        <v/>
      </c>
      <c r="N60" s="122" t="n"/>
      <c r="O60" s="2" t="inlineStr">
        <is>
          <t>Quanto o volume pode cair antes de o resultado virar prejuízo.</t>
        </is>
      </c>
    </row>
    <row r="61">
      <c r="A61" s="17" t="inlineStr">
        <is>
          <t>Alavancagem operacional</t>
        </is>
      </c>
      <c r="B61" s="2" t="inlineStr">
        <is>
          <t>x</t>
        </is>
      </c>
      <c r="C61" s="122" t="n"/>
      <c r="D61" s="67">
        <f>IFERROR('4. DRE'!D34/'4. DRE'!D39,"")</f>
        <v/>
      </c>
      <c r="E61" s="67">
        <f>IFERROR('4. DRE'!E34/'4. DRE'!E39,"")</f>
        <v/>
      </c>
      <c r="F61" s="67">
        <f>IFERROR('4. DRE'!F34/'4. DRE'!F39,"")</f>
        <v/>
      </c>
      <c r="G61" s="67">
        <f>IFERROR('4. DRE'!G34/'4. DRE'!G39,"")</f>
        <v/>
      </c>
      <c r="H61" s="67">
        <f>IFERROR('4. DRE'!H34/'4. DRE'!H39,"")</f>
        <v/>
      </c>
      <c r="I61" s="67">
        <f>IFERROR('4. DRE'!I34/'4. DRE'!I39,"")</f>
        <v/>
      </c>
      <c r="J61" s="67">
        <f>IFERROR('4. DRE'!J34/'4. DRE'!J39,"")</f>
        <v/>
      </c>
      <c r="K61" s="67">
        <f>IFERROR('4. DRE'!K34/'4. DRE'!K39,"")</f>
        <v/>
      </c>
      <c r="L61" s="67">
        <f>IFERROR('4. DRE'!L34/'4. DRE'!L39,"")</f>
        <v/>
      </c>
      <c r="M61" s="67">
        <f>IFERROR('4. DRE'!M34/'4. DRE'!M39,"")</f>
        <v/>
      </c>
      <c r="N61" s="122" t="n"/>
      <c r="O61" s="2" t="inlineStr">
        <is>
          <t>Cálculo: margem de contribuição / EBITDA. Quanto o EBITDA varia para cada 1% de volume.</t>
        </is>
      </c>
    </row>
    <row r="62">
      <c r="A62" s="122" t="n"/>
      <c r="B62" s="122" t="n"/>
      <c r="C62" s="122" t="n"/>
      <c r="D62" s="122" t="n"/>
      <c r="E62" s="122" t="n"/>
      <c r="F62" s="122" t="n"/>
      <c r="G62" s="122" t="n"/>
      <c r="H62" s="122" t="n"/>
      <c r="I62" s="122" t="n"/>
      <c r="J62" s="122" t="n"/>
      <c r="K62" s="122" t="n"/>
      <c r="L62" s="122" t="n"/>
      <c r="M62" s="122" t="n"/>
      <c r="N62" s="122" t="n"/>
      <c r="O62" s="122" t="n"/>
    </row>
    <row r="63">
      <c r="A63" s="10" t="inlineStr">
        <is>
          <t>Leitura de negócio</t>
        </is>
      </c>
      <c r="B63" s="122" t="n"/>
      <c r="C63" s="122" t="n"/>
      <c r="D63" s="122" t="n"/>
      <c r="E63" s="122" t="n"/>
      <c r="F63" s="122" t="n"/>
      <c r="G63" s="122" t="n"/>
      <c r="H63" s="122" t="n"/>
      <c r="I63" s="122" t="n"/>
      <c r="J63" s="122" t="n"/>
      <c r="K63" s="122" t="n"/>
      <c r="L63" s="122" t="n"/>
      <c r="M63" s="122" t="n"/>
      <c r="N63" s="122" t="n"/>
      <c r="O63" s="122" t="n"/>
    </row>
    <row r="64" ht="30" customHeight="1">
      <c r="A64" s="52" t="inlineStr">
        <is>
          <t>• A planta opera bem acima do ponto de equilíbrio em todo o horizonte, e a margem de segurança aumenta ano a ano porque o custo fixo é quase todo herdado do CAPEX e não cresce com o volume.</t>
        </is>
      </c>
      <c r="N64" s="122" t="n"/>
      <c r="O64" s="122" t="n"/>
    </row>
    <row r="65" ht="30" customHeight="1">
      <c r="A65" s="52" t="inlineStr">
        <is>
          <t>• O ponto de equilíbrio de caixa é menor que o contábil pela depreciação: mesmo abaixo do PE contábil, a planta ainda gera caixa. É o número que importa numa crise de demanda.</t>
        </is>
      </c>
      <c r="N65" s="122" t="n"/>
      <c r="O65" s="122" t="n"/>
    </row>
    <row r="66" ht="30" customHeight="1">
      <c r="A66" s="52" t="inlineStr">
        <is>
          <t>• A alavancagem operacional alta é a outra face disso: cada 1% de volume a menos custa mais de 1% de EBITDA. O risco do caso não é margem, é volume — e o volume vem de uma premissa de 10% de crescimento de market share ao ano que o caso nunca sustentou.</t>
        </is>
      </c>
      <c r="N66" s="122" t="n"/>
      <c r="O66" s="122" t="n"/>
    </row>
  </sheetData>
  <mergeCells count="7">
    <mergeCell ref="A66:M66"/>
    <mergeCell ref="A23:M23"/>
    <mergeCell ref="A22:M22"/>
    <mergeCell ref="A21:M21"/>
    <mergeCell ref="A64:M64"/>
    <mergeCell ref="A65:M65"/>
    <mergeCell ref="A24:M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X344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5" max="15"/>
  </cols>
  <sheetData>
    <row r="1">
      <c r="A1" s="1" t="inlineStr">
        <is>
          <t>MOTOR DE CENÁRIOS  (camada de cálculo)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  <c r="V1" s="122" t="n"/>
      <c r="W1" s="122" t="n"/>
      <c r="X1" s="122" t="n"/>
    </row>
    <row r="2">
      <c r="A2" s="2" t="inlineStr">
        <is>
          <t>Cada corrida recalcula o modelo inteiro com um jogo de alavancas. A aba 7 só apresenta o resultado. Não editar nada aqui: as alavancas ficam na aba 2. Inputs.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  <c r="P2" s="122" t="n"/>
      <c r="Q2" s="122" t="n"/>
      <c r="R2" s="122" t="n"/>
      <c r="S2" s="122" t="n"/>
      <c r="T2" s="122" t="n"/>
      <c r="U2" s="122" t="n"/>
      <c r="V2" s="122" t="n"/>
      <c r="W2" s="122" t="n"/>
      <c r="X2" s="122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2" t="n"/>
      <c r="O3" s="122" t="n"/>
      <c r="P3" s="122" t="n"/>
      <c r="Q3" s="122" t="n"/>
      <c r="R3" s="122" t="n"/>
      <c r="S3" s="122" t="n"/>
      <c r="T3" s="122" t="n"/>
      <c r="U3" s="122" t="n"/>
      <c r="V3" s="122" t="n"/>
      <c r="W3" s="122" t="n"/>
      <c r="X3" s="122" t="n"/>
    </row>
    <row r="4">
      <c r="A4" s="122" t="n"/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</row>
    <row r="5">
      <c r="A5" s="122" t="n"/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69" t="inlineStr">
        <is>
          <t>auxiliar: FCL descontado acumulado</t>
        </is>
      </c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</row>
    <row r="6" ht="34" customHeight="1">
      <c r="A6" s="70" t="inlineStr">
        <is>
          <t>N°</t>
        </is>
      </c>
      <c r="B6" s="70" t="inlineStr">
        <is>
          <t>Corrida</t>
        </is>
      </c>
      <c r="C6" s="70" t="inlineStr">
        <is>
          <t>Δ volume</t>
        </is>
      </c>
      <c r="D6" s="70" t="inlineStr">
        <is>
          <t>Δ margem (p.p.)</t>
        </is>
      </c>
      <c r="E6" s="70" t="inlineStr">
        <is>
          <t>Δ custo var.</t>
        </is>
      </c>
      <c r="F6" s="70" t="inlineStr">
        <is>
          <t>Contingência</t>
        </is>
      </c>
      <c r="G6" s="70" t="inlineStr">
        <is>
          <t>Part. Sudeste</t>
        </is>
      </c>
      <c r="H6" s="70" t="inlineStr">
        <is>
          <t>VPL @ WACC</t>
        </is>
      </c>
      <c r="I6" s="70" t="inlineStr">
        <is>
          <t>TIR</t>
        </is>
      </c>
      <c r="J6" s="70" t="inlineStr">
        <is>
          <t>EBITDA ano 1</t>
        </is>
      </c>
      <c r="K6" s="70" t="inlineStr">
        <is>
          <t>Margem EBITDA ano 1</t>
        </is>
      </c>
      <c r="L6" s="70" t="inlineStr">
        <is>
          <t>EBITDA ano 10</t>
        </is>
      </c>
      <c r="M6" s="70" t="inlineStr">
        <is>
          <t>Payback desc.</t>
        </is>
      </c>
      <c r="N6" s="122" t="n"/>
      <c r="O6" s="122" t="n"/>
      <c r="P6" s="122" t="n"/>
      <c r="Q6" s="122" t="n"/>
      <c r="R6" s="122" t="n"/>
      <c r="S6" s="122" t="n"/>
      <c r="T6" s="122" t="n"/>
      <c r="U6" s="122" t="n"/>
      <c r="V6" s="122" t="n"/>
      <c r="W6" s="122" t="n"/>
      <c r="X6" s="122" t="n"/>
    </row>
    <row r="7">
      <c r="A7" s="71" t="n">
        <v>1</v>
      </c>
      <c r="B7" s="5" t="inlineStr">
        <is>
          <t>Pessimista</t>
        </is>
      </c>
      <c r="C7" s="72">
        <f>'2. Inputs'!$C$88</f>
        <v/>
      </c>
      <c r="D7" s="72">
        <f>'2. Inputs'!$C$89</f>
        <v/>
      </c>
      <c r="E7" s="72">
        <f>'2. Inputs'!$C$90</f>
        <v/>
      </c>
      <c r="F7" s="72">
        <f>'2. Inputs'!$C$91</f>
        <v/>
      </c>
      <c r="G7" s="72">
        <f>'2. Inputs'!$C$92</f>
        <v/>
      </c>
      <c r="H7" s="73">
        <f>SUMPRODUCT(C44:M44,1/(1+'2. Inputs'!$C$81)^C22:M22)</f>
        <v/>
      </c>
      <c r="I7" s="74">
        <f>IRR(C44:M44)</f>
        <v/>
      </c>
      <c r="J7" s="73">
        <f>D38</f>
        <v/>
      </c>
      <c r="K7" s="74">
        <f>D38/D37</f>
        <v/>
      </c>
      <c r="L7" s="73">
        <f>M38</f>
        <v/>
      </c>
      <c r="M7" s="75">
        <f>IF(COUNTIF($N$44:$X$44,"&lt;0")=0,0,IF(COUNTIF($N$44:$X$44,"&lt;0")&gt;=11,"não paga no horizonte",COUNTIF($N$44:$X$44,"&lt;0")-1+ABS(INDEX($N$44:$X$44,COUNTIF($N$44:$X$44,"&lt;0")))/(INDEX($N$44:$X$44,COUNTIF($N$44:$X$44,"&lt;0")+1)-INDEX($N$44:$X$44,COUNTIF($N$44:$X$44,"&lt;0")))))</f>
        <v/>
      </c>
      <c r="N7" s="122" t="n"/>
      <c r="O7" s="122" t="n"/>
      <c r="P7" s="122" t="n"/>
      <c r="Q7" s="122" t="n"/>
      <c r="R7" s="122" t="n"/>
      <c r="S7" s="122" t="n"/>
      <c r="T7" s="122" t="n"/>
      <c r="U7" s="122" t="n"/>
      <c r="V7" s="122" t="n"/>
      <c r="W7" s="122" t="n"/>
      <c r="X7" s="122" t="n"/>
    </row>
    <row r="8">
      <c r="A8" s="71" t="n">
        <v>2</v>
      </c>
      <c r="B8" s="5" t="inlineStr">
        <is>
          <t>Base</t>
        </is>
      </c>
      <c r="C8" s="72">
        <f>'2. Inputs'!$D$88</f>
        <v/>
      </c>
      <c r="D8" s="72">
        <f>'2. Inputs'!$D$89</f>
        <v/>
      </c>
      <c r="E8" s="72">
        <f>'2. Inputs'!$D$90</f>
        <v/>
      </c>
      <c r="F8" s="72">
        <f>'2. Inputs'!$D$91</f>
        <v/>
      </c>
      <c r="G8" s="72">
        <f>'2. Inputs'!$D$92</f>
        <v/>
      </c>
      <c r="H8" s="73">
        <f>SUMPRODUCT(C69:M69,1/(1+'2. Inputs'!$C$81)^C47:M47)</f>
        <v/>
      </c>
      <c r="I8" s="74">
        <f>IRR(C69:M69)</f>
        <v/>
      </c>
      <c r="J8" s="73">
        <f>D63</f>
        <v/>
      </c>
      <c r="K8" s="74">
        <f>D63/D62</f>
        <v/>
      </c>
      <c r="L8" s="73">
        <f>M63</f>
        <v/>
      </c>
      <c r="M8" s="75">
        <f>IF(COUNTIF($N$69:$X$69,"&lt;0")=0,0,IF(COUNTIF($N$69:$X$69,"&lt;0")&gt;=11,"não paga no horizonte",COUNTIF($N$69:$X$69,"&lt;0")-1+ABS(INDEX($N$69:$X$69,COUNTIF($N$69:$X$69,"&lt;0")))/(INDEX($N$69:$X$69,COUNTIF($N$69:$X$69,"&lt;0")+1)-INDEX($N$69:$X$69,COUNTIF($N$69:$X$69,"&lt;0")))))</f>
        <v/>
      </c>
      <c r="N8" s="122" t="n"/>
      <c r="O8" s="122" t="n"/>
      <c r="P8" s="122" t="n"/>
      <c r="Q8" s="122" t="n"/>
      <c r="R8" s="122" t="n"/>
      <c r="S8" s="122" t="n"/>
      <c r="T8" s="122" t="n"/>
      <c r="U8" s="122" t="n"/>
      <c r="V8" s="122" t="n"/>
      <c r="W8" s="122" t="n"/>
      <c r="X8" s="122" t="n"/>
    </row>
    <row r="9">
      <c r="A9" s="71" t="n">
        <v>3</v>
      </c>
      <c r="B9" s="5" t="inlineStr">
        <is>
          <t>Otimista</t>
        </is>
      </c>
      <c r="C9" s="72">
        <f>'2. Inputs'!$E$88</f>
        <v/>
      </c>
      <c r="D9" s="72">
        <f>'2. Inputs'!$E$89</f>
        <v/>
      </c>
      <c r="E9" s="72">
        <f>'2. Inputs'!$E$90</f>
        <v/>
      </c>
      <c r="F9" s="72">
        <f>'2. Inputs'!$E$91</f>
        <v/>
      </c>
      <c r="G9" s="72">
        <f>'2. Inputs'!$E$92</f>
        <v/>
      </c>
      <c r="H9" s="73">
        <f>SUMPRODUCT(C94:M94,1/(1+'2. Inputs'!$C$81)^C72:M72)</f>
        <v/>
      </c>
      <c r="I9" s="74">
        <f>IRR(C94:M94)</f>
        <v/>
      </c>
      <c r="J9" s="73">
        <f>D88</f>
        <v/>
      </c>
      <c r="K9" s="74">
        <f>D88/D87</f>
        <v/>
      </c>
      <c r="L9" s="73">
        <f>M88</f>
        <v/>
      </c>
      <c r="M9" s="75">
        <f>IF(COUNTIF($N$94:$X$94,"&lt;0")=0,0,IF(COUNTIF($N$94:$X$94,"&lt;0")&gt;=11,"não paga no horizonte",COUNTIF($N$94:$X$94,"&lt;0")-1+ABS(INDEX($N$94:$X$94,COUNTIF($N$94:$X$94,"&lt;0")))/(INDEX($N$94:$X$94,COUNTIF($N$94:$X$94,"&lt;0")+1)-INDEX($N$94:$X$94,COUNTIF($N$94:$X$94,"&lt;0")))))</f>
        <v/>
      </c>
      <c r="N9" s="122" t="n"/>
      <c r="O9" s="122" t="n"/>
      <c r="P9" s="122" t="n"/>
      <c r="Q9" s="122" t="n"/>
      <c r="R9" s="122" t="n"/>
      <c r="S9" s="122" t="n"/>
      <c r="T9" s="122" t="n"/>
      <c r="U9" s="122" t="n"/>
      <c r="V9" s="122" t="n"/>
      <c r="W9" s="122" t="n"/>
      <c r="X9" s="122" t="n"/>
    </row>
    <row r="10">
      <c r="A10" s="71" t="n">
        <v>4</v>
      </c>
      <c r="B10" s="71" t="inlineStr">
        <is>
          <t>Volume −10%</t>
        </is>
      </c>
      <c r="C10" s="72" t="n">
        <v>-0.1</v>
      </c>
      <c r="D10" s="72">
        <f>'2. Inputs'!$D$89</f>
        <v/>
      </c>
      <c r="E10" s="72">
        <f>'2. Inputs'!$D$90</f>
        <v/>
      </c>
      <c r="F10" s="72">
        <f>'2. Inputs'!$D$91</f>
        <v/>
      </c>
      <c r="G10" s="72">
        <f>'2. Inputs'!$D$92</f>
        <v/>
      </c>
      <c r="H10" s="76">
        <f>SUMPRODUCT(C119:M119,1/(1+'2. Inputs'!$C$81)^C97:M97)</f>
        <v/>
      </c>
      <c r="I10" s="72">
        <f>IRR(C119:M119)</f>
        <v/>
      </c>
      <c r="J10" s="76">
        <f>D113</f>
        <v/>
      </c>
      <c r="K10" s="72">
        <f>D113/D112</f>
        <v/>
      </c>
      <c r="L10" s="76">
        <f>M113</f>
        <v/>
      </c>
      <c r="M10" s="77">
        <f>IF(COUNTIF($N$119:$X$119,"&lt;0")=0,0,IF(COUNTIF($N$119:$X$119,"&lt;0")&gt;=11,"não paga no horizonte",COUNTIF($N$119:$X$119,"&lt;0")-1+ABS(INDEX($N$119:$X$119,COUNTIF($N$119:$X$119,"&lt;0")))/(INDEX($N$119:$X$119,COUNTIF($N$119:$X$119,"&lt;0")+1)-INDEX($N$119:$X$119,COUNTIF($N$119:$X$119,"&lt;0")))))</f>
        <v/>
      </c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</row>
    <row r="11">
      <c r="A11" s="71" t="n">
        <v>5</v>
      </c>
      <c r="B11" s="71" t="inlineStr">
        <is>
          <t>Volume +10%</t>
        </is>
      </c>
      <c r="C11" s="72" t="n">
        <v>0.1</v>
      </c>
      <c r="D11" s="72">
        <f>'2. Inputs'!$D$89</f>
        <v/>
      </c>
      <c r="E11" s="72">
        <f>'2. Inputs'!$D$90</f>
        <v/>
      </c>
      <c r="F11" s="72">
        <f>'2. Inputs'!$D$91</f>
        <v/>
      </c>
      <c r="G11" s="72">
        <f>'2. Inputs'!$D$92</f>
        <v/>
      </c>
      <c r="H11" s="76">
        <f>SUMPRODUCT(C144:M144,1/(1+'2. Inputs'!$C$81)^C122:M122)</f>
        <v/>
      </c>
      <c r="I11" s="72">
        <f>IRR(C144:M144)</f>
        <v/>
      </c>
      <c r="J11" s="76">
        <f>D138</f>
        <v/>
      </c>
      <c r="K11" s="72">
        <f>D138/D137</f>
        <v/>
      </c>
      <c r="L11" s="76">
        <f>M138</f>
        <v/>
      </c>
      <c r="M11" s="77">
        <f>IF(COUNTIF($N$144:$X$144,"&lt;0")=0,0,IF(COUNTIF($N$144:$X$144,"&lt;0")&gt;=11,"não paga no horizonte",COUNTIF($N$144:$X$144,"&lt;0")-1+ABS(INDEX($N$144:$X$144,COUNTIF($N$144:$X$144,"&lt;0")))/(INDEX($N$144:$X$144,COUNTIF($N$144:$X$144,"&lt;0")+1)-INDEX($N$144:$X$144,COUNTIF($N$144:$X$144,"&lt;0")))))</f>
        <v/>
      </c>
      <c r="N11" s="122" t="n"/>
      <c r="O11" s="122" t="n"/>
      <c r="P11" s="122" t="n"/>
      <c r="Q11" s="122" t="n"/>
      <c r="R11" s="122" t="n"/>
      <c r="S11" s="122" t="n"/>
      <c r="T11" s="122" t="n"/>
      <c r="U11" s="122" t="n"/>
      <c r="V11" s="122" t="n"/>
      <c r="W11" s="122" t="n"/>
      <c r="X11" s="122" t="n"/>
    </row>
    <row r="12">
      <c r="A12" s="71" t="n">
        <v>6</v>
      </c>
      <c r="B12" s="71" t="inlineStr">
        <is>
          <t>Margem-alvo −3 p.p.</t>
        </is>
      </c>
      <c r="C12" s="72">
        <f>'2. Inputs'!$D$88</f>
        <v/>
      </c>
      <c r="D12" s="72" t="n">
        <v>-0.03</v>
      </c>
      <c r="E12" s="72">
        <f>'2. Inputs'!$D$90</f>
        <v/>
      </c>
      <c r="F12" s="72">
        <f>'2. Inputs'!$D$91</f>
        <v/>
      </c>
      <c r="G12" s="72">
        <f>'2. Inputs'!$D$92</f>
        <v/>
      </c>
      <c r="H12" s="76">
        <f>SUMPRODUCT(C169:M169,1/(1+'2. Inputs'!$C$81)^C147:M147)</f>
        <v/>
      </c>
      <c r="I12" s="72">
        <f>IRR(C169:M169)</f>
        <v/>
      </c>
      <c r="J12" s="76">
        <f>D163</f>
        <v/>
      </c>
      <c r="K12" s="72">
        <f>D163/D162</f>
        <v/>
      </c>
      <c r="L12" s="76">
        <f>M163</f>
        <v/>
      </c>
      <c r="M12" s="77">
        <f>IF(COUNTIF($N$169:$X$169,"&lt;0")=0,0,IF(COUNTIF($N$169:$X$169,"&lt;0")&gt;=11,"não paga no horizonte",COUNTIF($N$169:$X$169,"&lt;0")-1+ABS(INDEX($N$169:$X$169,COUNTIF($N$169:$X$169,"&lt;0")))/(INDEX($N$169:$X$169,COUNTIF($N$169:$X$169,"&lt;0")+1)-INDEX($N$169:$X$169,COUNTIF($N$169:$X$169,"&lt;0")))))</f>
        <v/>
      </c>
      <c r="N12" s="122" t="n"/>
      <c r="O12" s="122" t="n"/>
      <c r="P12" s="122" t="n"/>
      <c r="Q12" s="122" t="n"/>
      <c r="R12" s="122" t="n"/>
      <c r="S12" s="122" t="n"/>
      <c r="T12" s="122" t="n"/>
      <c r="U12" s="122" t="n"/>
      <c r="V12" s="122" t="n"/>
      <c r="W12" s="122" t="n"/>
      <c r="X12" s="122" t="n"/>
    </row>
    <row r="13">
      <c r="A13" s="71" t="n">
        <v>7</v>
      </c>
      <c r="B13" s="71" t="inlineStr">
        <is>
          <t>Margem-alvo +3 p.p.</t>
        </is>
      </c>
      <c r="C13" s="72">
        <f>'2. Inputs'!$D$88</f>
        <v/>
      </c>
      <c r="D13" s="72" t="n">
        <v>0.03</v>
      </c>
      <c r="E13" s="72">
        <f>'2. Inputs'!$D$90</f>
        <v/>
      </c>
      <c r="F13" s="72">
        <f>'2. Inputs'!$D$91</f>
        <v/>
      </c>
      <c r="G13" s="72">
        <f>'2. Inputs'!$D$92</f>
        <v/>
      </c>
      <c r="H13" s="76">
        <f>SUMPRODUCT(C194:M194,1/(1+'2. Inputs'!$C$81)^C172:M172)</f>
        <v/>
      </c>
      <c r="I13" s="72">
        <f>IRR(C194:M194)</f>
        <v/>
      </c>
      <c r="J13" s="76">
        <f>D188</f>
        <v/>
      </c>
      <c r="K13" s="72">
        <f>D188/D187</f>
        <v/>
      </c>
      <c r="L13" s="76">
        <f>M188</f>
        <v/>
      </c>
      <c r="M13" s="77">
        <f>IF(COUNTIF($N$194:$X$194,"&lt;0")=0,0,IF(COUNTIF($N$194:$X$194,"&lt;0")&gt;=11,"não paga no horizonte",COUNTIF($N$194:$X$194,"&lt;0")-1+ABS(INDEX($N$194:$X$194,COUNTIF($N$194:$X$194,"&lt;0")))/(INDEX($N$194:$X$194,COUNTIF($N$194:$X$194,"&lt;0")+1)-INDEX($N$194:$X$194,COUNTIF($N$194:$X$194,"&lt;0")))))</f>
        <v/>
      </c>
      <c r="N13" s="122" t="n"/>
      <c r="O13" s="122" t="n"/>
      <c r="P13" s="122" t="n"/>
      <c r="Q13" s="122" t="n"/>
      <c r="R13" s="122" t="n"/>
      <c r="S13" s="122" t="n"/>
      <c r="T13" s="122" t="n"/>
      <c r="U13" s="122" t="n"/>
      <c r="V13" s="122" t="n"/>
      <c r="W13" s="122" t="n"/>
      <c r="X13" s="122" t="n"/>
    </row>
    <row r="14">
      <c r="A14" s="71" t="n">
        <v>8</v>
      </c>
      <c r="B14" s="71" t="inlineStr">
        <is>
          <t>Custo variável +10%</t>
        </is>
      </c>
      <c r="C14" s="72">
        <f>'2. Inputs'!$D$88</f>
        <v/>
      </c>
      <c r="D14" s="72">
        <f>'2. Inputs'!$D$89</f>
        <v/>
      </c>
      <c r="E14" s="72" t="n">
        <v>0.1</v>
      </c>
      <c r="F14" s="72">
        <f>'2. Inputs'!$D$91</f>
        <v/>
      </c>
      <c r="G14" s="72">
        <f>'2. Inputs'!$D$92</f>
        <v/>
      </c>
      <c r="H14" s="76">
        <f>SUMPRODUCT(C219:M219,1/(1+'2. Inputs'!$C$81)^C197:M197)</f>
        <v/>
      </c>
      <c r="I14" s="72">
        <f>IRR(C219:M219)</f>
        <v/>
      </c>
      <c r="J14" s="76">
        <f>D213</f>
        <v/>
      </c>
      <c r="K14" s="72">
        <f>D213/D212</f>
        <v/>
      </c>
      <c r="L14" s="76">
        <f>M213</f>
        <v/>
      </c>
      <c r="M14" s="77">
        <f>IF(COUNTIF($N$219:$X$219,"&lt;0")=0,0,IF(COUNTIF($N$219:$X$219,"&lt;0")&gt;=11,"não paga no horizonte",COUNTIF($N$219:$X$219,"&lt;0")-1+ABS(INDEX($N$219:$X$219,COUNTIF($N$219:$X$219,"&lt;0")))/(INDEX($N$219:$X$219,COUNTIF($N$219:$X$219,"&lt;0")+1)-INDEX($N$219:$X$219,COUNTIF($N$219:$X$219,"&lt;0")))))</f>
        <v/>
      </c>
      <c r="N14" s="122" t="n"/>
      <c r="O14" s="122" t="n"/>
      <c r="P14" s="122" t="n"/>
      <c r="Q14" s="122" t="n"/>
      <c r="R14" s="122" t="n"/>
      <c r="S14" s="122" t="n"/>
      <c r="T14" s="122" t="n"/>
      <c r="U14" s="122" t="n"/>
      <c r="V14" s="122" t="n"/>
      <c r="W14" s="122" t="n"/>
      <c r="X14" s="122" t="n"/>
    </row>
    <row r="15">
      <c r="A15" s="71" t="n">
        <v>9</v>
      </c>
      <c r="B15" s="71" t="inlineStr">
        <is>
          <t>Custo variável −10%</t>
        </is>
      </c>
      <c r="C15" s="72">
        <f>'2. Inputs'!$D$88</f>
        <v/>
      </c>
      <c r="D15" s="72">
        <f>'2. Inputs'!$D$89</f>
        <v/>
      </c>
      <c r="E15" s="72" t="n">
        <v>-0.1</v>
      </c>
      <c r="F15" s="72">
        <f>'2. Inputs'!$D$91</f>
        <v/>
      </c>
      <c r="G15" s="72">
        <f>'2. Inputs'!$D$92</f>
        <v/>
      </c>
      <c r="H15" s="76">
        <f>SUMPRODUCT(C244:M244,1/(1+'2. Inputs'!$C$81)^C222:M222)</f>
        <v/>
      </c>
      <c r="I15" s="72">
        <f>IRR(C244:M244)</f>
        <v/>
      </c>
      <c r="J15" s="76">
        <f>D238</f>
        <v/>
      </c>
      <c r="K15" s="72">
        <f>D238/D237</f>
        <v/>
      </c>
      <c r="L15" s="76">
        <f>M238</f>
        <v/>
      </c>
      <c r="M15" s="77">
        <f>IF(COUNTIF($N$244:$X$244,"&lt;0")=0,0,IF(COUNTIF($N$244:$X$244,"&lt;0")&gt;=11,"não paga no horizonte",COUNTIF($N$244:$X$244,"&lt;0")-1+ABS(INDEX($N$244:$X$244,COUNTIF($N$244:$X$244,"&lt;0")))/(INDEX($N$244:$X$244,COUNTIF($N$244:$X$244,"&lt;0")+1)-INDEX($N$244:$X$244,COUNTIF($N$244:$X$244,"&lt;0")))))</f>
        <v/>
      </c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</row>
    <row r="16">
      <c r="A16" s="71" t="n">
        <v>10</v>
      </c>
      <c r="B16" s="71" t="inlineStr">
        <is>
          <t>Contingência 15%</t>
        </is>
      </c>
      <c r="C16" s="72">
        <f>'2. Inputs'!$D$88</f>
        <v/>
      </c>
      <c r="D16" s="72">
        <f>'2. Inputs'!$D$89</f>
        <v/>
      </c>
      <c r="E16" s="72">
        <f>'2. Inputs'!$D$90</f>
        <v/>
      </c>
      <c r="F16" s="72" t="n">
        <v>0.15</v>
      </c>
      <c r="G16" s="72">
        <f>'2. Inputs'!$D$92</f>
        <v/>
      </c>
      <c r="H16" s="76">
        <f>SUMPRODUCT(C269:M269,1/(1+'2. Inputs'!$C$81)^C247:M247)</f>
        <v/>
      </c>
      <c r="I16" s="72">
        <f>IRR(C269:M269)</f>
        <v/>
      </c>
      <c r="J16" s="76">
        <f>D263</f>
        <v/>
      </c>
      <c r="K16" s="72">
        <f>D263/D262</f>
        <v/>
      </c>
      <c r="L16" s="76">
        <f>M263</f>
        <v/>
      </c>
      <c r="M16" s="77">
        <f>IF(COUNTIF($N$269:$X$269,"&lt;0")=0,0,IF(COUNTIF($N$269:$X$269,"&lt;0")&gt;=11,"não paga no horizonte",COUNTIF($N$269:$X$269,"&lt;0")-1+ABS(INDEX($N$269:$X$269,COUNTIF($N$269:$X$269,"&lt;0")))/(INDEX($N$269:$X$269,COUNTIF($N$269:$X$269,"&lt;0")+1)-INDEX($N$269:$X$269,COUNTIF($N$269:$X$269,"&lt;0")))))</f>
        <v/>
      </c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</row>
    <row r="17">
      <c r="A17" s="71" t="n">
        <v>11</v>
      </c>
      <c r="B17" s="71" t="inlineStr">
        <is>
          <t>Contingência 5%</t>
        </is>
      </c>
      <c r="C17" s="72">
        <f>'2. Inputs'!$D$88</f>
        <v/>
      </c>
      <c r="D17" s="72">
        <f>'2. Inputs'!$D$89</f>
        <v/>
      </c>
      <c r="E17" s="72">
        <f>'2. Inputs'!$D$90</f>
        <v/>
      </c>
      <c r="F17" s="72" t="n">
        <v>0.05</v>
      </c>
      <c r="G17" s="72">
        <f>'2. Inputs'!$D$92</f>
        <v/>
      </c>
      <c r="H17" s="76">
        <f>SUMPRODUCT(C294:M294,1/(1+'2. Inputs'!$C$81)^C272:M272)</f>
        <v/>
      </c>
      <c r="I17" s="72">
        <f>IRR(C294:M294)</f>
        <v/>
      </c>
      <c r="J17" s="76">
        <f>D288</f>
        <v/>
      </c>
      <c r="K17" s="72">
        <f>D288/D287</f>
        <v/>
      </c>
      <c r="L17" s="76">
        <f>M288</f>
        <v/>
      </c>
      <c r="M17" s="77">
        <f>IF(COUNTIF($N$294:$X$294,"&lt;0")=0,0,IF(COUNTIF($N$294:$X$294,"&lt;0")&gt;=11,"não paga no horizonte",COUNTIF($N$294:$X$294,"&lt;0")-1+ABS(INDEX($N$294:$X$294,COUNTIF($N$294:$X$294,"&lt;0")))/(INDEX($N$294:$X$294,COUNTIF($N$294:$X$294,"&lt;0")+1)-INDEX($N$294:$X$294,COUNTIF($N$294:$X$294,"&lt;0")))))</f>
        <v/>
      </c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</row>
    <row r="18">
      <c r="A18" s="71" t="n">
        <v>12</v>
      </c>
      <c r="B18" s="71" t="inlineStr">
        <is>
          <t>Sudeste 70%</t>
        </is>
      </c>
      <c r="C18" s="72">
        <f>'2. Inputs'!$D$88</f>
        <v/>
      </c>
      <c r="D18" s="72">
        <f>'2. Inputs'!$D$89</f>
        <v/>
      </c>
      <c r="E18" s="72">
        <f>'2. Inputs'!$D$90</f>
        <v/>
      </c>
      <c r="F18" s="72">
        <f>'2. Inputs'!$D$91</f>
        <v/>
      </c>
      <c r="G18" s="72" t="n">
        <v>0.7</v>
      </c>
      <c r="H18" s="76">
        <f>SUMPRODUCT(C319:M319,1/(1+'2. Inputs'!$C$81)^C297:M297)</f>
        <v/>
      </c>
      <c r="I18" s="72">
        <f>IRR(C319:M319)</f>
        <v/>
      </c>
      <c r="J18" s="76">
        <f>D313</f>
        <v/>
      </c>
      <c r="K18" s="72">
        <f>D313/D312</f>
        <v/>
      </c>
      <c r="L18" s="76">
        <f>M313</f>
        <v/>
      </c>
      <c r="M18" s="77">
        <f>IF(COUNTIF($N$319:$X$319,"&lt;0")=0,0,IF(COUNTIF($N$319:$X$319,"&lt;0")&gt;=11,"não paga no horizonte",COUNTIF($N$319:$X$319,"&lt;0")-1+ABS(INDEX($N$319:$X$319,COUNTIF($N$319:$X$319,"&lt;0")))/(INDEX($N$319:$X$319,COUNTIF($N$319:$X$319,"&lt;0")+1)-INDEX($N$319:$X$319,COUNTIF($N$319:$X$319,"&lt;0")))))</f>
        <v/>
      </c>
      <c r="N18" s="122" t="n"/>
      <c r="O18" s="122" t="n"/>
      <c r="P18" s="122" t="n"/>
      <c r="Q18" s="122" t="n"/>
      <c r="R18" s="122" t="n"/>
      <c r="S18" s="122" t="n"/>
      <c r="T18" s="122" t="n"/>
      <c r="U18" s="122" t="n"/>
      <c r="V18" s="122" t="n"/>
      <c r="W18" s="122" t="n"/>
      <c r="X18" s="122" t="n"/>
    </row>
    <row r="19">
      <c r="A19" s="71" t="n">
        <v>13</v>
      </c>
      <c r="B19" s="71" t="inlineStr">
        <is>
          <t>Sudeste 90%</t>
        </is>
      </c>
      <c r="C19" s="72">
        <f>'2. Inputs'!$D$88</f>
        <v/>
      </c>
      <c r="D19" s="72">
        <f>'2. Inputs'!$D$89</f>
        <v/>
      </c>
      <c r="E19" s="72">
        <f>'2. Inputs'!$D$90</f>
        <v/>
      </c>
      <c r="F19" s="72">
        <f>'2. Inputs'!$D$91</f>
        <v/>
      </c>
      <c r="G19" s="72" t="n">
        <v>0.9</v>
      </c>
      <c r="H19" s="76">
        <f>SUMPRODUCT(C344:M344,1/(1+'2. Inputs'!$C$81)^C322:M322)</f>
        <v/>
      </c>
      <c r="I19" s="72">
        <f>IRR(C344:M344)</f>
        <v/>
      </c>
      <c r="J19" s="76">
        <f>D338</f>
        <v/>
      </c>
      <c r="K19" s="72">
        <f>D338/D337</f>
        <v/>
      </c>
      <c r="L19" s="76">
        <f>M338</f>
        <v/>
      </c>
      <c r="M19" s="77">
        <f>IF(COUNTIF($N$344:$X$344,"&lt;0")=0,0,IF(COUNTIF($N$344:$X$344,"&lt;0")&gt;=11,"não paga no horizonte",COUNTIF($N$344:$X$344,"&lt;0")-1+ABS(INDEX($N$344:$X$344,COUNTIF($N$344:$X$344,"&lt;0")))/(INDEX($N$344:$X$344,COUNTIF($N$344:$X$344,"&lt;0")+1)-INDEX($N$344:$X$344,COUNTIF($N$344:$X$344,"&lt;0")))))</f>
        <v/>
      </c>
      <c r="N19" s="122" t="n"/>
      <c r="O19" s="122" t="n"/>
      <c r="P19" s="122" t="n"/>
      <c r="Q19" s="122" t="n"/>
      <c r="R19" s="122" t="n"/>
      <c r="S19" s="122" t="n"/>
      <c r="T19" s="122" t="n"/>
      <c r="U19" s="122" t="n"/>
      <c r="V19" s="122" t="n"/>
      <c r="W19" s="122" t="n"/>
      <c r="X19" s="122" t="n"/>
    </row>
    <row r="20">
      <c r="A20" s="122" t="n"/>
      <c r="B20" s="122" t="n"/>
      <c r="C20" s="122" t="n"/>
      <c r="D20" s="122" t="n"/>
      <c r="E20" s="122" t="n"/>
      <c r="F20" s="122" t="n"/>
      <c r="G20" s="122" t="n"/>
      <c r="H20" s="122" t="n"/>
      <c r="I20" s="122" t="n"/>
      <c r="J20" s="122" t="n"/>
      <c r="K20" s="122" t="n"/>
      <c r="L20" s="122" t="n"/>
      <c r="M20" s="122" t="n"/>
      <c r="N20" s="122" t="n"/>
      <c r="O20" s="122" t="n"/>
      <c r="P20" s="122" t="n"/>
      <c r="Q20" s="122" t="n"/>
      <c r="R20" s="122" t="n"/>
      <c r="S20" s="122" t="n"/>
      <c r="T20" s="122" t="n"/>
      <c r="U20" s="122" t="n"/>
      <c r="V20" s="122" t="n"/>
      <c r="W20" s="122" t="n"/>
      <c r="X20" s="122" t="n"/>
    </row>
    <row r="21">
      <c r="A21" s="15" t="inlineStr">
        <is>
          <t>CORRIDA 1 — Pessimista</t>
        </is>
      </c>
      <c r="B21" s="126" t="n"/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2" t="n"/>
      <c r="O21" s="122" t="n"/>
      <c r="P21" s="122" t="n"/>
      <c r="Q21" s="122" t="n"/>
      <c r="R21" s="122" t="n"/>
      <c r="S21" s="122" t="n"/>
      <c r="T21" s="122" t="n"/>
      <c r="U21" s="122" t="n"/>
      <c r="V21" s="122" t="n"/>
      <c r="W21" s="122" t="n"/>
      <c r="X21" s="122" t="n"/>
    </row>
    <row r="22">
      <c r="A22" s="78" t="inlineStr">
        <is>
          <t>Ano</t>
        </is>
      </c>
      <c r="B22" s="122" t="n"/>
      <c r="C22" s="79" t="n">
        <v>0</v>
      </c>
      <c r="D22" s="79" t="n">
        <v>1</v>
      </c>
      <c r="E22" s="79" t="n">
        <v>2</v>
      </c>
      <c r="F22" s="79" t="n">
        <v>3</v>
      </c>
      <c r="G22" s="79" t="n">
        <v>4</v>
      </c>
      <c r="H22" s="79" t="n">
        <v>5</v>
      </c>
      <c r="I22" s="79" t="n">
        <v>6</v>
      </c>
      <c r="J22" s="79" t="n">
        <v>7</v>
      </c>
      <c r="K22" s="79" t="n">
        <v>8</v>
      </c>
      <c r="L22" s="79" t="n">
        <v>9</v>
      </c>
      <c r="M22" s="79" t="n">
        <v>10</v>
      </c>
      <c r="N22" s="122" t="n"/>
      <c r="O22" s="122" t="n"/>
      <c r="P22" s="122" t="n"/>
      <c r="Q22" s="122" t="n"/>
      <c r="R22" s="122" t="n"/>
      <c r="S22" s="122" t="n"/>
      <c r="T22" s="122" t="n"/>
      <c r="U22" s="122" t="n"/>
      <c r="V22" s="122" t="n"/>
      <c r="W22" s="122" t="n"/>
      <c r="X22" s="122" t="n"/>
    </row>
    <row r="23">
      <c r="A23" s="71" t="inlineStr">
        <is>
          <t>Volume (un)</t>
        </is>
      </c>
      <c r="B23" s="122" t="n"/>
      <c r="C23" s="76" t="n"/>
      <c r="D23" s="76">
        <f>'2. Inputs'!D11*(1+$C$7)</f>
        <v/>
      </c>
      <c r="E23" s="76">
        <f>'2. Inputs'!E11*(1+$C$7)</f>
        <v/>
      </c>
      <c r="F23" s="76">
        <f>'2. Inputs'!F11*(1+$C$7)</f>
        <v/>
      </c>
      <c r="G23" s="76">
        <f>'2. Inputs'!G11*(1+$C$7)</f>
        <v/>
      </c>
      <c r="H23" s="76">
        <f>'2. Inputs'!H11*(1+$C$7)</f>
        <v/>
      </c>
      <c r="I23" s="76">
        <f>'2. Inputs'!I11*(1+$C$7)</f>
        <v/>
      </c>
      <c r="J23" s="76">
        <f>'2. Inputs'!J11*(1+$C$7)</f>
        <v/>
      </c>
      <c r="K23" s="76">
        <f>'2. Inputs'!K11*(1+$C$7)</f>
        <v/>
      </c>
      <c r="L23" s="76">
        <f>'2. Inputs'!L11*(1+$C$7)</f>
        <v/>
      </c>
      <c r="M23" s="76">
        <f>'2. Inputs'!M11*(1+$C$7)</f>
        <v/>
      </c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2" t="n"/>
      <c r="W23" s="122" t="n"/>
      <c r="X23" s="122" t="n"/>
    </row>
    <row r="24">
      <c r="A24" s="71" t="inlineStr">
        <is>
          <t>Frete unitário (R$/un)</t>
        </is>
      </c>
      <c r="B24" s="80">
        <f>('2. Inputs'!D25*'2. Inputs'!$C$96+'2. Inputs'!D26*'2. Inputs'!$C$97+'2. Inputs'!D27*'2. Inputs'!$C$98+'2. Inputs'!D28*'2. Inputs'!$C$99)/'2. Inputs'!$C$100</f>
        <v/>
      </c>
      <c r="C24" s="81" t="n"/>
      <c r="D24" s="81">
        <f>$G$7*'2. Inputs'!D24+(1-$G$7)*$B$24</f>
        <v/>
      </c>
      <c r="E24" s="81">
        <f>$G$7*'2. Inputs'!E24+(1-$G$7)*$B$24</f>
        <v/>
      </c>
      <c r="F24" s="81">
        <f>$G$7*'2. Inputs'!F24+(1-$G$7)*$B$24</f>
        <v/>
      </c>
      <c r="G24" s="81">
        <f>$G$7*'2. Inputs'!G24+(1-$G$7)*$B$24</f>
        <v/>
      </c>
      <c r="H24" s="81">
        <f>$G$7*'2. Inputs'!H24+(1-$G$7)*$B$24</f>
        <v/>
      </c>
      <c r="I24" s="81">
        <f>$G$7*'2. Inputs'!I24+(1-$G$7)*$B$24</f>
        <v/>
      </c>
      <c r="J24" s="81">
        <f>$G$7*'2. Inputs'!J24+(1-$G$7)*$B$24</f>
        <v/>
      </c>
      <c r="K24" s="81">
        <f>$G$7*'2. Inputs'!K24+(1-$G$7)*$B$24</f>
        <v/>
      </c>
      <c r="L24" s="81">
        <f>$G$7*'2. Inputs'!L24+(1-$G$7)*$B$24</f>
        <v/>
      </c>
      <c r="M24" s="81">
        <f>$G$7*'2. Inputs'!M24+(1-$G$7)*$B$24</f>
        <v/>
      </c>
      <c r="N24" s="122" t="n"/>
      <c r="O24" s="2" t="inlineStr">
        <is>
          <t>Coluna B: frete unitário médio fora do Sudeste, nas proporções da origem (Sul 5%, NE 3%, N 2%, CO 10%).</t>
        </is>
      </c>
      <c r="P24" s="122" t="n"/>
      <c r="Q24" s="122" t="n"/>
      <c r="R24" s="122" t="n"/>
      <c r="S24" s="122" t="n"/>
      <c r="T24" s="122" t="n"/>
      <c r="U24" s="122" t="n"/>
      <c r="V24" s="122" t="n"/>
      <c r="W24" s="122" t="n"/>
      <c r="X24" s="122" t="n"/>
    </row>
    <row r="25">
      <c r="A25" s="71" t="inlineStr">
        <is>
          <t>Custo variável unitário (R$/un)</t>
        </is>
      </c>
      <c r="B25" s="122" t="n"/>
      <c r="C25" s="82" t="n"/>
      <c r="D25" s="82">
        <f>'2. Inputs'!D43*(1+$E$7)</f>
        <v/>
      </c>
      <c r="E25" s="82">
        <f>'2. Inputs'!E43*(1+$E$7)</f>
        <v/>
      </c>
      <c r="F25" s="82">
        <f>'2. Inputs'!F43*(1+$E$7)</f>
        <v/>
      </c>
      <c r="G25" s="82">
        <f>'2. Inputs'!G43*(1+$E$7)</f>
        <v/>
      </c>
      <c r="H25" s="82">
        <f>'2. Inputs'!H43*(1+$E$7)</f>
        <v/>
      </c>
      <c r="I25" s="82">
        <f>'2. Inputs'!I43*(1+$E$7)</f>
        <v/>
      </c>
      <c r="J25" s="82">
        <f>'2. Inputs'!J43*(1+$E$7)</f>
        <v/>
      </c>
      <c r="K25" s="82">
        <f>'2. Inputs'!K43*(1+$E$7)</f>
        <v/>
      </c>
      <c r="L25" s="82">
        <f>'2. Inputs'!L43*(1+$E$7)</f>
        <v/>
      </c>
      <c r="M25" s="82">
        <f>'2. Inputs'!M43*(1+$E$7)</f>
        <v/>
      </c>
      <c r="N25" s="122" t="n"/>
      <c r="O25" s="122" t="n"/>
      <c r="P25" s="122" t="n"/>
      <c r="Q25" s="122" t="n"/>
      <c r="R25" s="122" t="n"/>
      <c r="S25" s="122" t="n"/>
      <c r="T25" s="122" t="n"/>
      <c r="U25" s="122" t="n"/>
      <c r="V25" s="122" t="n"/>
      <c r="W25" s="122" t="n"/>
      <c r="X25" s="122" t="n"/>
    </row>
    <row r="26">
      <c r="A26" s="71" t="inlineStr">
        <is>
          <t>Markup total (%)</t>
        </is>
      </c>
      <c r="B26" s="122" t="n"/>
      <c r="C26" s="72" t="n"/>
      <c r="D26" s="72">
        <f>'2. Inputs'!D32+'2. Inputs'!D33+'2. Inputs'!D34+'2. Inputs'!D35+'2. Inputs'!D36+$D$7</f>
        <v/>
      </c>
      <c r="E26" s="72">
        <f>'2. Inputs'!E32+'2. Inputs'!E33+'2. Inputs'!E34+'2. Inputs'!E35+'2. Inputs'!E36+$D$7</f>
        <v/>
      </c>
      <c r="F26" s="72">
        <f>'2. Inputs'!F32+'2. Inputs'!F33+'2. Inputs'!F34+'2. Inputs'!F35+'2. Inputs'!F36+$D$7</f>
        <v/>
      </c>
      <c r="G26" s="72">
        <f>'2. Inputs'!G32+'2. Inputs'!G33+'2. Inputs'!G34+'2. Inputs'!G35+'2. Inputs'!G36+$D$7</f>
        <v/>
      </c>
      <c r="H26" s="72">
        <f>'2. Inputs'!H32+'2. Inputs'!H33+'2. Inputs'!H34+'2. Inputs'!H35+'2. Inputs'!H36+$D$7</f>
        <v/>
      </c>
      <c r="I26" s="72">
        <f>'2. Inputs'!I32+'2. Inputs'!I33+'2. Inputs'!I34+'2. Inputs'!I35+'2. Inputs'!I36+$D$7</f>
        <v/>
      </c>
      <c r="J26" s="72">
        <f>'2. Inputs'!J32+'2. Inputs'!J33+'2. Inputs'!J34+'2. Inputs'!J35+'2. Inputs'!J36+$D$7</f>
        <v/>
      </c>
      <c r="K26" s="72">
        <f>'2. Inputs'!K32+'2. Inputs'!K33+'2. Inputs'!K34+'2. Inputs'!K35+'2. Inputs'!K36+$D$7</f>
        <v/>
      </c>
      <c r="L26" s="72">
        <f>'2. Inputs'!L32+'2. Inputs'!L33+'2. Inputs'!L34+'2. Inputs'!L35+'2. Inputs'!L36+$D$7</f>
        <v/>
      </c>
      <c r="M26" s="72">
        <f>'2. Inputs'!M32+'2. Inputs'!M33+'2. Inputs'!M34+'2. Inputs'!M35+'2. Inputs'!M36+$D$7</f>
        <v/>
      </c>
      <c r="N26" s="122" t="n"/>
      <c r="O26" s="122" t="n"/>
      <c r="P26" s="122" t="n"/>
      <c r="Q26" s="122" t="n"/>
      <c r="R26" s="122" t="n"/>
      <c r="S26" s="122" t="n"/>
      <c r="T26" s="122" t="n"/>
      <c r="U26" s="122" t="n"/>
      <c r="V26" s="122" t="n"/>
      <c r="W26" s="122" t="n"/>
      <c r="X26" s="122" t="n"/>
    </row>
    <row r="27">
      <c r="A27" s="71" t="inlineStr">
        <is>
          <t>Custo variável (R$)</t>
        </is>
      </c>
      <c r="B27" s="122" t="n"/>
      <c r="C27" s="76" t="n"/>
      <c r="D27" s="76">
        <f>D23*D25</f>
        <v/>
      </c>
      <c r="E27" s="76">
        <f>E23*E25</f>
        <v/>
      </c>
      <c r="F27" s="76">
        <f>F23*F25</f>
        <v/>
      </c>
      <c r="G27" s="76">
        <f>G23*G25</f>
        <v/>
      </c>
      <c r="H27" s="76">
        <f>H23*H25</f>
        <v/>
      </c>
      <c r="I27" s="76">
        <f>I23*I25</f>
        <v/>
      </c>
      <c r="J27" s="76">
        <f>J23*J25</f>
        <v/>
      </c>
      <c r="K27" s="76">
        <f>K23*K25</f>
        <v/>
      </c>
      <c r="L27" s="76">
        <f>L23*L25</f>
        <v/>
      </c>
      <c r="M27" s="76">
        <f>M23*M25</f>
        <v/>
      </c>
      <c r="N27" s="122" t="n"/>
      <c r="O27" s="122" t="n"/>
      <c r="P27" s="122" t="n"/>
      <c r="Q27" s="122" t="n"/>
      <c r="R27" s="122" t="n"/>
      <c r="S27" s="122" t="n"/>
      <c r="T27" s="122" t="n"/>
      <c r="U27" s="122" t="n"/>
      <c r="V27" s="122" t="n"/>
      <c r="W27" s="122" t="n"/>
      <c r="X27" s="122" t="n"/>
    </row>
    <row r="28">
      <c r="A28" s="71" t="inlineStr">
        <is>
          <t>Frete (R$)</t>
        </is>
      </c>
      <c r="B28" s="122" t="n"/>
      <c r="C28" s="76" t="n"/>
      <c r="D28" s="76">
        <f>D23*D24</f>
        <v/>
      </c>
      <c r="E28" s="76">
        <f>E23*E24</f>
        <v/>
      </c>
      <c r="F28" s="76">
        <f>F23*F24</f>
        <v/>
      </c>
      <c r="G28" s="76">
        <f>G23*G24</f>
        <v/>
      </c>
      <c r="H28" s="76">
        <f>H23*H24</f>
        <v/>
      </c>
      <c r="I28" s="76">
        <f>I23*I24</f>
        <v/>
      </c>
      <c r="J28" s="76">
        <f>J23*J24</f>
        <v/>
      </c>
      <c r="K28" s="76">
        <f>K23*K24</f>
        <v/>
      </c>
      <c r="L28" s="76">
        <f>L23*L24</f>
        <v/>
      </c>
      <c r="M28" s="76">
        <f>M23*M24</f>
        <v/>
      </c>
      <c r="N28" s="122" t="n"/>
      <c r="O28" s="122" t="n"/>
      <c r="P28" s="122" t="n"/>
      <c r="Q28" s="122" t="n"/>
      <c r="R28" s="122" t="n"/>
      <c r="S28" s="122" t="n"/>
      <c r="T28" s="122" t="n"/>
      <c r="U28" s="122" t="n"/>
      <c r="V28" s="122" t="n"/>
      <c r="W28" s="122" t="n"/>
      <c r="X28" s="122" t="n"/>
    </row>
    <row r="29">
      <c r="A29" s="71" t="inlineStr">
        <is>
          <t>Custo fixo de estrutura (R$)</t>
        </is>
      </c>
      <c r="B29" s="122" t="n"/>
      <c r="C29" s="76" t="n"/>
      <c r="D29" s="76">
        <f>'2. Inputs'!D46</f>
        <v/>
      </c>
      <c r="E29" s="76">
        <f>'2. Inputs'!E46</f>
        <v/>
      </c>
      <c r="F29" s="76">
        <f>'2. Inputs'!F46</f>
        <v/>
      </c>
      <c r="G29" s="76">
        <f>'2. Inputs'!G46</f>
        <v/>
      </c>
      <c r="H29" s="76">
        <f>'2. Inputs'!H46</f>
        <v/>
      </c>
      <c r="I29" s="76">
        <f>'2. Inputs'!I46</f>
        <v/>
      </c>
      <c r="J29" s="76">
        <f>'2. Inputs'!J46</f>
        <v/>
      </c>
      <c r="K29" s="76">
        <f>'2. Inputs'!K46</f>
        <v/>
      </c>
      <c r="L29" s="76">
        <f>'2. Inputs'!L46</f>
        <v/>
      </c>
      <c r="M29" s="76">
        <f>'2. Inputs'!M46</f>
        <v/>
      </c>
      <c r="N29" s="122" t="n"/>
      <c r="O29" s="122" t="n"/>
      <c r="P29" s="122" t="n"/>
      <c r="Q29" s="122" t="n"/>
      <c r="R29" s="122" t="n"/>
      <c r="S29" s="122" t="n"/>
      <c r="T29" s="122" t="n"/>
      <c r="U29" s="122" t="n"/>
      <c r="V29" s="122" t="n"/>
      <c r="W29" s="122" t="n"/>
      <c r="X29" s="122" t="n"/>
    </row>
    <row r="30">
      <c r="A30" s="71" t="inlineStr">
        <is>
          <t>Manutenção e seguro (R$)</t>
        </is>
      </c>
      <c r="B30" s="122" t="n"/>
      <c r="C30" s="76" t="n"/>
      <c r="D30" s="76">
        <f>('2. Inputs'!D47+'2. Inputs'!D48)*'2. Inputs'!D54</f>
        <v/>
      </c>
      <c r="E30" s="76">
        <f>('2. Inputs'!E47+'2. Inputs'!E48)*'2. Inputs'!E54</f>
        <v/>
      </c>
      <c r="F30" s="76">
        <f>('2. Inputs'!F47+'2. Inputs'!F48)*'2. Inputs'!F54</f>
        <v/>
      </c>
      <c r="G30" s="76">
        <f>('2. Inputs'!G47+'2. Inputs'!G48)*'2. Inputs'!G54</f>
        <v/>
      </c>
      <c r="H30" s="76">
        <f>('2. Inputs'!H47+'2. Inputs'!H48)*'2. Inputs'!H54</f>
        <v/>
      </c>
      <c r="I30" s="76">
        <f>('2. Inputs'!I47+'2. Inputs'!I48)*'2. Inputs'!I54</f>
        <v/>
      </c>
      <c r="J30" s="76">
        <f>('2. Inputs'!J47+'2. Inputs'!J48)*'2. Inputs'!J54</f>
        <v/>
      </c>
      <c r="K30" s="76">
        <f>('2. Inputs'!K47+'2. Inputs'!K48)*'2. Inputs'!K54</f>
        <v/>
      </c>
      <c r="L30" s="76">
        <f>('2. Inputs'!L47+'2. Inputs'!L48)*'2. Inputs'!L54</f>
        <v/>
      </c>
      <c r="M30" s="76">
        <f>('2. Inputs'!M47+'2. Inputs'!M48)*'2. Inputs'!M54</f>
        <v/>
      </c>
      <c r="N30" s="122" t="n"/>
      <c r="O30" s="122" t="n"/>
      <c r="P30" s="122" t="n"/>
      <c r="Q30" s="122" t="n"/>
      <c r="R30" s="122" t="n"/>
      <c r="S30" s="122" t="n"/>
      <c r="T30" s="122" t="n"/>
      <c r="U30" s="122" t="n"/>
      <c r="V30" s="122" t="n"/>
      <c r="W30" s="122" t="n"/>
      <c r="X30" s="122" t="n"/>
    </row>
    <row r="31">
      <c r="A31" s="71" t="inlineStr">
        <is>
          <t>Contingência (R$)</t>
        </is>
      </c>
      <c r="B31" s="122" t="n"/>
      <c r="C31" s="76" t="n"/>
      <c r="D31" s="76">
        <f>$F$7*'2. Inputs'!D54</f>
        <v/>
      </c>
      <c r="E31" s="76">
        <f>$F$7*'2. Inputs'!E54</f>
        <v/>
      </c>
      <c r="F31" s="76">
        <f>$F$7*'2. Inputs'!F54</f>
        <v/>
      </c>
      <c r="G31" s="76">
        <f>$F$7*'2. Inputs'!G54</f>
        <v/>
      </c>
      <c r="H31" s="76">
        <f>$F$7*'2. Inputs'!H54</f>
        <v/>
      </c>
      <c r="I31" s="76">
        <f>$F$7*'2. Inputs'!I54</f>
        <v/>
      </c>
      <c r="J31" s="76">
        <f>$F$7*'2. Inputs'!J54</f>
        <v/>
      </c>
      <c r="K31" s="76">
        <f>$F$7*'2. Inputs'!K54</f>
        <v/>
      </c>
      <c r="L31" s="76">
        <f>$F$7*'2. Inputs'!L54</f>
        <v/>
      </c>
      <c r="M31" s="76">
        <f>$F$7*'2. Inputs'!M54</f>
        <v/>
      </c>
      <c r="N31" s="122" t="n"/>
      <c r="O31" s="122" t="n"/>
      <c r="P31" s="122" t="n"/>
      <c r="Q31" s="122" t="n"/>
      <c r="R31" s="122" t="n"/>
      <c r="S31" s="122" t="n"/>
      <c r="T31" s="122" t="n"/>
      <c r="U31" s="122" t="n"/>
      <c r="V31" s="122" t="n"/>
      <c r="W31" s="122" t="n"/>
      <c r="X31" s="122" t="n"/>
    </row>
    <row r="32">
      <c r="A32" s="71" t="inlineStr">
        <is>
          <t>Depreciação (R$)</t>
        </is>
      </c>
      <c r="B32" s="122" t="n"/>
      <c r="C32" s="76" t="n"/>
      <c r="D32" s="76">
        <f>'3. Depreciacao'!D31</f>
        <v/>
      </c>
      <c r="E32" s="76">
        <f>'3. Depreciacao'!E31</f>
        <v/>
      </c>
      <c r="F32" s="76">
        <f>'3. Depreciacao'!F31</f>
        <v/>
      </c>
      <c r="G32" s="76">
        <f>'3. Depreciacao'!G31</f>
        <v/>
      </c>
      <c r="H32" s="76">
        <f>'3. Depreciacao'!H31</f>
        <v/>
      </c>
      <c r="I32" s="76">
        <f>'3. Depreciacao'!I31</f>
        <v/>
      </c>
      <c r="J32" s="76">
        <f>'3. Depreciacao'!J31</f>
        <v/>
      </c>
      <c r="K32" s="76">
        <f>'3. Depreciacao'!K31</f>
        <v/>
      </c>
      <c r="L32" s="76">
        <f>'3. Depreciacao'!L31</f>
        <v/>
      </c>
      <c r="M32" s="76">
        <f>'3. Depreciacao'!M31</f>
        <v/>
      </c>
      <c r="N32" s="122" t="n"/>
      <c r="O32" s="122" t="n"/>
      <c r="P32" s="122" t="n"/>
      <c r="Q32" s="122" t="n"/>
      <c r="R32" s="122" t="n"/>
      <c r="S32" s="122" t="n"/>
      <c r="T32" s="122" t="n"/>
      <c r="U32" s="122" t="n"/>
      <c r="V32" s="122" t="n"/>
      <c r="W32" s="122" t="n"/>
      <c r="X32" s="122" t="n"/>
    </row>
    <row r="33">
      <c r="A33" s="71" t="inlineStr">
        <is>
          <t>Custo total (R$)</t>
        </is>
      </c>
      <c r="B33" s="122" t="n"/>
      <c r="C33" s="76" t="n"/>
      <c r="D33" s="76">
        <f>SUM(D27:D32)</f>
        <v/>
      </c>
      <c r="E33" s="76">
        <f>SUM(E27:E32)</f>
        <v/>
      </c>
      <c r="F33" s="76">
        <f>SUM(F27:F32)</f>
        <v/>
      </c>
      <c r="G33" s="76">
        <f>SUM(G27:G32)</f>
        <v/>
      </c>
      <c r="H33" s="76">
        <f>SUM(H27:H32)</f>
        <v/>
      </c>
      <c r="I33" s="76">
        <f>SUM(I27:I32)</f>
        <v/>
      </c>
      <c r="J33" s="76">
        <f>SUM(J27:J32)</f>
        <v/>
      </c>
      <c r="K33" s="76">
        <f>SUM(K27:K32)</f>
        <v/>
      </c>
      <c r="L33" s="76">
        <f>SUM(L27:L32)</f>
        <v/>
      </c>
      <c r="M33" s="76">
        <f>SUM(M27:M32)</f>
        <v/>
      </c>
      <c r="N33" s="122" t="n"/>
      <c r="O33" s="122" t="n"/>
      <c r="P33" s="122" t="n"/>
      <c r="Q33" s="122" t="n"/>
      <c r="R33" s="122" t="n"/>
      <c r="S33" s="122" t="n"/>
      <c r="T33" s="122" t="n"/>
      <c r="U33" s="122" t="n"/>
      <c r="V33" s="122" t="n"/>
      <c r="W33" s="122" t="n"/>
      <c r="X33" s="122" t="n"/>
    </row>
    <row r="34">
      <c r="A34" s="71" t="inlineStr">
        <is>
          <t>Preço bruto unitário (R$/un)</t>
        </is>
      </c>
      <c r="B34" s="122" t="n"/>
      <c r="C34" s="82" t="n"/>
      <c r="D34" s="82">
        <f>IF('2. Inputs'!$C$38=1,D33/D23/(1-D26),'2. Inputs'!D39)</f>
        <v/>
      </c>
      <c r="E34" s="82">
        <f>IF('2. Inputs'!$C$38=1,E33/E23/(1-E26),'2. Inputs'!E39)</f>
        <v/>
      </c>
      <c r="F34" s="82">
        <f>IF('2. Inputs'!$C$38=1,F33/F23/(1-F26),'2. Inputs'!F39)</f>
        <v/>
      </c>
      <c r="G34" s="82">
        <f>IF('2. Inputs'!$C$38=1,G33/G23/(1-G26),'2. Inputs'!G39)</f>
        <v/>
      </c>
      <c r="H34" s="82">
        <f>IF('2. Inputs'!$C$38=1,H33/H23/(1-H26),'2. Inputs'!H39)</f>
        <v/>
      </c>
      <c r="I34" s="82">
        <f>IF('2. Inputs'!$C$38=1,I33/I23/(1-I26),'2. Inputs'!I39)</f>
        <v/>
      </c>
      <c r="J34" s="82">
        <f>IF('2. Inputs'!$C$38=1,J33/J23/(1-J26),'2. Inputs'!J39)</f>
        <v/>
      </c>
      <c r="K34" s="82">
        <f>IF('2. Inputs'!$C$38=1,K33/K23/(1-K26),'2. Inputs'!K39)</f>
        <v/>
      </c>
      <c r="L34" s="82">
        <f>IF('2. Inputs'!$C$38=1,L33/L23/(1-L26),'2. Inputs'!L39)</f>
        <v/>
      </c>
      <c r="M34" s="82">
        <f>IF('2. Inputs'!$C$38=1,M33/M23/(1-M26),'2. Inputs'!M39)</f>
        <v/>
      </c>
      <c r="N34" s="122" t="n"/>
      <c r="O34" s="122" t="n"/>
      <c r="P34" s="122" t="n"/>
      <c r="Q34" s="122" t="n"/>
      <c r="R34" s="122" t="n"/>
      <c r="S34" s="122" t="n"/>
      <c r="T34" s="122" t="n"/>
      <c r="U34" s="122" t="n"/>
      <c r="V34" s="122" t="n"/>
      <c r="W34" s="122" t="n"/>
      <c r="X34" s="122" t="n"/>
    </row>
    <row r="35">
      <c r="A35" s="71" t="inlineStr">
        <is>
          <t>Receita bruta (R$)</t>
        </is>
      </c>
      <c r="B35" s="122" t="n"/>
      <c r="C35" s="76" t="n"/>
      <c r="D35" s="76">
        <f>D23*D34</f>
        <v/>
      </c>
      <c r="E35" s="76">
        <f>E23*E34</f>
        <v/>
      </c>
      <c r="F35" s="76">
        <f>F23*F34</f>
        <v/>
      </c>
      <c r="G35" s="76">
        <f>G23*G34</f>
        <v/>
      </c>
      <c r="H35" s="76">
        <f>H23*H34</f>
        <v/>
      </c>
      <c r="I35" s="76">
        <f>I23*I34</f>
        <v/>
      </c>
      <c r="J35" s="76">
        <f>J23*J34</f>
        <v/>
      </c>
      <c r="K35" s="76">
        <f>K23*K34</f>
        <v/>
      </c>
      <c r="L35" s="76">
        <f>L23*L34</f>
        <v/>
      </c>
      <c r="M35" s="76">
        <f>M23*M34</f>
        <v/>
      </c>
      <c r="N35" s="122" t="n"/>
      <c r="O35" s="122" t="n"/>
      <c r="P35" s="122" t="n"/>
      <c r="Q35" s="122" t="n"/>
      <c r="R35" s="122" t="n"/>
      <c r="S35" s="122" t="n"/>
      <c r="T35" s="122" t="n"/>
      <c r="U35" s="122" t="n"/>
      <c r="V35" s="122" t="n"/>
      <c r="W35" s="122" t="n"/>
      <c r="X35" s="122" t="n"/>
    </row>
    <row r="36">
      <c r="A36" s="71" t="inlineStr">
        <is>
          <t>Comissão (R$)</t>
        </is>
      </c>
      <c r="B36" s="122" t="n"/>
      <c r="C36" s="76" t="n"/>
      <c r="D36" s="76">
        <f>'2. Inputs'!D35*D35</f>
        <v/>
      </c>
      <c r="E36" s="76">
        <f>'2. Inputs'!E35*E35</f>
        <v/>
      </c>
      <c r="F36" s="76">
        <f>'2. Inputs'!F35*F35</f>
        <v/>
      </c>
      <c r="G36" s="76">
        <f>'2. Inputs'!G35*G35</f>
        <v/>
      </c>
      <c r="H36" s="76">
        <f>'2. Inputs'!H35*H35</f>
        <v/>
      </c>
      <c r="I36" s="76">
        <f>'2. Inputs'!I35*I35</f>
        <v/>
      </c>
      <c r="J36" s="76">
        <f>'2. Inputs'!J35*J35</f>
        <v/>
      </c>
      <c r="K36" s="76">
        <f>'2. Inputs'!K35*K35</f>
        <v/>
      </c>
      <c r="L36" s="76">
        <f>'2. Inputs'!L35*L35</f>
        <v/>
      </c>
      <c r="M36" s="76">
        <f>'2. Inputs'!M35*M35</f>
        <v/>
      </c>
      <c r="N36" s="122" t="n"/>
      <c r="O36" s="122" t="n"/>
      <c r="P36" s="122" t="n"/>
      <c r="Q36" s="122" t="n"/>
      <c r="R36" s="122" t="n"/>
      <c r="S36" s="122" t="n"/>
      <c r="T36" s="122" t="n"/>
      <c r="U36" s="122" t="n"/>
      <c r="V36" s="122" t="n"/>
      <c r="W36" s="122" t="n"/>
      <c r="X36" s="122" t="n"/>
    </row>
    <row r="37">
      <c r="A37" s="71" t="inlineStr">
        <is>
          <t>Receita líquida (R$)</t>
        </is>
      </c>
      <c r="B37" s="122" t="n"/>
      <c r="C37" s="76" t="n"/>
      <c r="D37" s="76">
        <f>D35*(1-'2. Inputs'!D32-'2. Inputs'!D33-'2. Inputs'!D34)</f>
        <v/>
      </c>
      <c r="E37" s="76">
        <f>E35*(1-'2. Inputs'!E32-'2. Inputs'!E33-'2. Inputs'!E34)</f>
        <v/>
      </c>
      <c r="F37" s="76">
        <f>F35*(1-'2. Inputs'!F32-'2. Inputs'!F33-'2. Inputs'!F34)</f>
        <v/>
      </c>
      <c r="G37" s="76">
        <f>G35*(1-'2. Inputs'!G32-'2. Inputs'!G33-'2. Inputs'!G34)</f>
        <v/>
      </c>
      <c r="H37" s="76">
        <f>H35*(1-'2. Inputs'!H32-'2. Inputs'!H33-'2. Inputs'!H34)</f>
        <v/>
      </c>
      <c r="I37" s="76">
        <f>I35*(1-'2. Inputs'!I32-'2. Inputs'!I33-'2. Inputs'!I34)</f>
        <v/>
      </c>
      <c r="J37" s="76">
        <f>J35*(1-'2. Inputs'!J32-'2. Inputs'!J33-'2. Inputs'!J34)</f>
        <v/>
      </c>
      <c r="K37" s="76">
        <f>K35*(1-'2. Inputs'!K32-'2. Inputs'!K33-'2. Inputs'!K34)</f>
        <v/>
      </c>
      <c r="L37" s="76">
        <f>L35*(1-'2. Inputs'!L32-'2. Inputs'!L33-'2. Inputs'!L34)</f>
        <v/>
      </c>
      <c r="M37" s="76">
        <f>M35*(1-'2. Inputs'!M32-'2. Inputs'!M33-'2. Inputs'!M34)</f>
        <v/>
      </c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2" t="n"/>
      <c r="X37" s="122" t="n"/>
    </row>
    <row r="38">
      <c r="A38" s="71" t="inlineStr">
        <is>
          <t>EBITDA (R$)</t>
        </is>
      </c>
      <c r="B38" s="122" t="n"/>
      <c r="C38" s="76" t="n"/>
      <c r="D38" s="76">
        <f>D37-D27-D28-D36-D29-D30-D31</f>
        <v/>
      </c>
      <c r="E38" s="76">
        <f>E37-E27-E28-E36-E29-E30-E31</f>
        <v/>
      </c>
      <c r="F38" s="76">
        <f>F37-F27-F28-F36-F29-F30-F31</f>
        <v/>
      </c>
      <c r="G38" s="76">
        <f>G37-G27-G28-G36-G29-G30-G31</f>
        <v/>
      </c>
      <c r="H38" s="76">
        <f>H37-H27-H28-H36-H29-H30-H31</f>
        <v/>
      </c>
      <c r="I38" s="76">
        <f>I37-I27-I28-I36-I29-I30-I31</f>
        <v/>
      </c>
      <c r="J38" s="76">
        <f>J37-J27-J28-J36-J29-J30-J31</f>
        <v/>
      </c>
      <c r="K38" s="76">
        <f>K37-K27-K28-K36-K29-K30-K31</f>
        <v/>
      </c>
      <c r="L38" s="76">
        <f>L37-L27-L28-L36-L29-L30-L31</f>
        <v/>
      </c>
      <c r="M38" s="76">
        <f>M37-M27-M28-M36-M29-M30-M31</f>
        <v/>
      </c>
      <c r="N38" s="122" t="n"/>
      <c r="O38" s="122" t="n"/>
      <c r="P38" s="122" t="n"/>
      <c r="Q38" s="122" t="n"/>
      <c r="R38" s="122" t="n"/>
      <c r="S38" s="122" t="n"/>
      <c r="T38" s="122" t="n"/>
      <c r="U38" s="122" t="n"/>
      <c r="V38" s="122" t="n"/>
      <c r="W38" s="122" t="n"/>
      <c r="X38" s="122" t="n"/>
    </row>
    <row r="39">
      <c r="A39" s="71" t="inlineStr">
        <is>
          <t>EBIT (R$)</t>
        </is>
      </c>
      <c r="B39" s="122" t="n"/>
      <c r="C39" s="76" t="n"/>
      <c r="D39" s="76">
        <f>D38-D32</f>
        <v/>
      </c>
      <c r="E39" s="76">
        <f>E38-E32</f>
        <v/>
      </c>
      <c r="F39" s="76">
        <f>F38-F32</f>
        <v/>
      </c>
      <c r="G39" s="76">
        <f>G38-G32</f>
        <v/>
      </c>
      <c r="H39" s="76">
        <f>H38-H32</f>
        <v/>
      </c>
      <c r="I39" s="76">
        <f>I38-I32</f>
        <v/>
      </c>
      <c r="J39" s="76">
        <f>J38-J32</f>
        <v/>
      </c>
      <c r="K39" s="76">
        <f>K38-K32</f>
        <v/>
      </c>
      <c r="L39" s="76">
        <f>L38-L32</f>
        <v/>
      </c>
      <c r="M39" s="76">
        <f>M38-M32</f>
        <v/>
      </c>
      <c r="N39" s="122" t="n"/>
      <c r="O39" s="122" t="n"/>
      <c r="P39" s="122" t="n"/>
      <c r="Q39" s="122" t="n"/>
      <c r="R39" s="122" t="n"/>
      <c r="S39" s="122" t="n"/>
      <c r="T39" s="122" t="n"/>
      <c r="U39" s="122" t="n"/>
      <c r="V39" s="122" t="n"/>
      <c r="W39" s="122" t="n"/>
      <c r="X39" s="122" t="n"/>
    </row>
    <row r="40">
      <c r="A40" s="71" t="inlineStr">
        <is>
          <t>IRPJ + adicional + CSLL (R$)</t>
        </is>
      </c>
      <c r="B40" s="122" t="n"/>
      <c r="C40" s="76" t="n"/>
      <c r="D40" s="76">
        <f>IF(D39&gt;0,'2. Inputs'!D58*D39+'2. Inputs'!D59*MAX(0,D39-'2. Inputs'!D60)+'2. Inputs'!D61*D39,0)</f>
        <v/>
      </c>
      <c r="E40" s="76">
        <f>IF(E39&gt;0,'2. Inputs'!E58*E39+'2. Inputs'!E59*MAX(0,E39-'2. Inputs'!E60)+'2. Inputs'!E61*E39,0)</f>
        <v/>
      </c>
      <c r="F40" s="76">
        <f>IF(F39&gt;0,'2. Inputs'!F58*F39+'2. Inputs'!F59*MAX(0,F39-'2. Inputs'!F60)+'2. Inputs'!F61*F39,0)</f>
        <v/>
      </c>
      <c r="G40" s="76">
        <f>IF(G39&gt;0,'2. Inputs'!G58*G39+'2. Inputs'!G59*MAX(0,G39-'2. Inputs'!G60)+'2. Inputs'!G61*G39,0)</f>
        <v/>
      </c>
      <c r="H40" s="76">
        <f>IF(H39&gt;0,'2. Inputs'!H58*H39+'2. Inputs'!H59*MAX(0,H39-'2. Inputs'!H60)+'2. Inputs'!H61*H39,0)</f>
        <v/>
      </c>
      <c r="I40" s="76">
        <f>IF(I39&gt;0,'2. Inputs'!I58*I39+'2. Inputs'!I59*MAX(0,I39-'2. Inputs'!I60)+'2. Inputs'!I61*I39,0)</f>
        <v/>
      </c>
      <c r="J40" s="76">
        <f>IF(J39&gt;0,'2. Inputs'!J58*J39+'2. Inputs'!J59*MAX(0,J39-'2. Inputs'!J60)+'2. Inputs'!J61*J39,0)</f>
        <v/>
      </c>
      <c r="K40" s="76">
        <f>IF(K39&gt;0,'2. Inputs'!K58*K39+'2. Inputs'!K59*MAX(0,K39-'2. Inputs'!K60)+'2. Inputs'!K61*K39,0)</f>
        <v/>
      </c>
      <c r="L40" s="76">
        <f>IF(L39&gt;0,'2. Inputs'!L58*L39+'2. Inputs'!L59*MAX(0,L39-'2. Inputs'!L60)+'2. Inputs'!L61*L39,0)</f>
        <v/>
      </c>
      <c r="M40" s="76">
        <f>IF(M39&gt;0,'2. Inputs'!M58*M39+'2. Inputs'!M59*MAX(0,M39-'2. Inputs'!M60)+'2. Inputs'!M61*M39,0)</f>
        <v/>
      </c>
      <c r="N40" s="122" t="n"/>
      <c r="O40" s="122" t="n"/>
      <c r="P40" s="122" t="n"/>
      <c r="Q40" s="122" t="n"/>
      <c r="R40" s="122" t="n"/>
      <c r="S40" s="122" t="n"/>
      <c r="T40" s="122" t="n"/>
      <c r="U40" s="122" t="n"/>
      <c r="V40" s="122" t="n"/>
      <c r="W40" s="122" t="n"/>
      <c r="X40" s="122" t="n"/>
    </row>
    <row r="41">
      <c r="A41" s="71" t="inlineStr">
        <is>
          <t>NOPAT (R$)</t>
        </is>
      </c>
      <c r="B41" s="122" t="n"/>
      <c r="C41" s="76" t="n"/>
      <c r="D41" s="76">
        <f>D39-D40</f>
        <v/>
      </c>
      <c r="E41" s="76">
        <f>E39-E40</f>
        <v/>
      </c>
      <c r="F41" s="76">
        <f>F39-F40</f>
        <v/>
      </c>
      <c r="G41" s="76">
        <f>G39-G40</f>
        <v/>
      </c>
      <c r="H41" s="76">
        <f>H39-H40</f>
        <v/>
      </c>
      <c r="I41" s="76">
        <f>I39-I40</f>
        <v/>
      </c>
      <c r="J41" s="76">
        <f>J39-J40</f>
        <v/>
      </c>
      <c r="K41" s="76">
        <f>K39-K40</f>
        <v/>
      </c>
      <c r="L41" s="76">
        <f>L39-L40</f>
        <v/>
      </c>
      <c r="M41" s="76">
        <f>M39-M40</f>
        <v/>
      </c>
      <c r="N41" s="122" t="n"/>
      <c r="O41" s="122" t="n"/>
      <c r="P41" s="122" t="n"/>
      <c r="Q41" s="122" t="n"/>
      <c r="R41" s="122" t="n"/>
      <c r="S41" s="122" t="n"/>
      <c r="T41" s="122" t="n"/>
      <c r="U41" s="122" t="n"/>
      <c r="V41" s="122" t="n"/>
      <c r="W41" s="122" t="n"/>
      <c r="X41" s="122" t="n"/>
    </row>
    <row r="42">
      <c r="A42" s="71" t="inlineStr">
        <is>
          <t>Capital de giro (R$)</t>
        </is>
      </c>
      <c r="B42" s="122" t="n"/>
      <c r="C42" s="76">
        <f>D42</f>
        <v/>
      </c>
      <c r="D42" s="76">
        <f>'2. Inputs'!D64/'2. Inputs'!D68*D35+'2. Inputs'!D65/'2. Inputs'!D68*(D27+D28)+'2. Inputs'!D67/'2. Inputs'!D68*(D27+D28+D36+D29+D30+D31)-'2. Inputs'!D66/'2. Inputs'!D68*(D27+D28)</f>
        <v/>
      </c>
      <c r="E42" s="76">
        <f>'2. Inputs'!E64/'2. Inputs'!E68*E35+'2. Inputs'!E65/'2. Inputs'!E68*(E27+E28)+'2. Inputs'!E67/'2. Inputs'!E68*(E27+E28+E36+E29+E30+E31)-'2. Inputs'!E66/'2. Inputs'!E68*(E27+E28)</f>
        <v/>
      </c>
      <c r="F42" s="76">
        <f>'2. Inputs'!F64/'2. Inputs'!F68*F35+'2. Inputs'!F65/'2. Inputs'!F68*(F27+F28)+'2. Inputs'!F67/'2. Inputs'!F68*(F27+F28+F36+F29+F30+F31)-'2. Inputs'!F66/'2. Inputs'!F68*(F27+F28)</f>
        <v/>
      </c>
      <c r="G42" s="76">
        <f>'2. Inputs'!G64/'2. Inputs'!G68*G35+'2. Inputs'!G65/'2. Inputs'!G68*(G27+G28)+'2. Inputs'!G67/'2. Inputs'!G68*(G27+G28+G36+G29+G30+G31)-'2. Inputs'!G66/'2. Inputs'!G68*(G27+G28)</f>
        <v/>
      </c>
      <c r="H42" s="76">
        <f>'2. Inputs'!H64/'2. Inputs'!H68*H35+'2. Inputs'!H65/'2. Inputs'!H68*(H27+H28)+'2. Inputs'!H67/'2. Inputs'!H68*(H27+H28+H36+H29+H30+H31)-'2. Inputs'!H66/'2. Inputs'!H68*(H27+H28)</f>
        <v/>
      </c>
      <c r="I42" s="76">
        <f>'2. Inputs'!I64/'2. Inputs'!I68*I35+'2. Inputs'!I65/'2. Inputs'!I68*(I27+I28)+'2. Inputs'!I67/'2. Inputs'!I68*(I27+I28+I36+I29+I30+I31)-'2. Inputs'!I66/'2. Inputs'!I68*(I27+I28)</f>
        <v/>
      </c>
      <c r="J42" s="76">
        <f>'2. Inputs'!J64/'2. Inputs'!J68*J35+'2. Inputs'!J65/'2. Inputs'!J68*(J27+J28)+'2. Inputs'!J67/'2. Inputs'!J68*(J27+J28+J36+J29+J30+J31)-'2. Inputs'!J66/'2. Inputs'!J68*(J27+J28)</f>
        <v/>
      </c>
      <c r="K42" s="76">
        <f>'2. Inputs'!K64/'2. Inputs'!K68*K35+'2. Inputs'!K65/'2. Inputs'!K68*(K27+K28)+'2. Inputs'!K67/'2. Inputs'!K68*(K27+K28+K36+K29+K30+K31)-'2. Inputs'!K66/'2. Inputs'!K68*(K27+K28)</f>
        <v/>
      </c>
      <c r="L42" s="76">
        <f>'2. Inputs'!L64/'2. Inputs'!L68*L35+'2. Inputs'!L65/'2. Inputs'!L68*(L27+L28)+'2. Inputs'!L67/'2. Inputs'!L68*(L27+L28+L36+L29+L30+L31)-'2. Inputs'!L66/'2. Inputs'!L68*(L27+L28)</f>
        <v/>
      </c>
      <c r="M42" s="76">
        <f>'2. Inputs'!M64/'2. Inputs'!M68*M35+'2. Inputs'!M65/'2. Inputs'!M68*(M27+M28)+'2. Inputs'!M67/'2. Inputs'!M68*(M27+M28+M36+M29+M30+M31)-'2. Inputs'!M66/'2. Inputs'!M68*(M27+M28)</f>
        <v/>
      </c>
      <c r="N42" s="122" t="n"/>
      <c r="O42" s="122" t="n"/>
      <c r="P42" s="122" t="n"/>
      <c r="Q42" s="122" t="n"/>
      <c r="R42" s="122" t="n"/>
      <c r="S42" s="122" t="n"/>
      <c r="T42" s="122" t="n"/>
      <c r="U42" s="122" t="n"/>
      <c r="V42" s="122" t="n"/>
      <c r="W42" s="122" t="n"/>
      <c r="X42" s="122" t="n"/>
    </row>
    <row r="43">
      <c r="A43" s="71" t="inlineStr">
        <is>
          <t>Δ capital de giro (R$)</t>
        </is>
      </c>
      <c r="B43" s="122" t="n"/>
      <c r="C43" s="76">
        <f>C42</f>
        <v/>
      </c>
      <c r="D43" s="76">
        <f>D42-C42</f>
        <v/>
      </c>
      <c r="E43" s="76">
        <f>E42-D42</f>
        <v/>
      </c>
      <c r="F43" s="76">
        <f>F42-E42</f>
        <v/>
      </c>
      <c r="G43" s="76">
        <f>G42-F42</f>
        <v/>
      </c>
      <c r="H43" s="76">
        <f>H42-G42</f>
        <v/>
      </c>
      <c r="I43" s="76">
        <f>I42-H42</f>
        <v/>
      </c>
      <c r="J43" s="76">
        <f>J42-I42</f>
        <v/>
      </c>
      <c r="K43" s="76">
        <f>K42-J42</f>
        <v/>
      </c>
      <c r="L43" s="76">
        <f>L42-K42</f>
        <v/>
      </c>
      <c r="M43" s="76">
        <f>M42-L42</f>
        <v/>
      </c>
      <c r="N43" s="122" t="n"/>
      <c r="O43" s="122" t="n"/>
      <c r="P43" s="122" t="n"/>
      <c r="Q43" s="122" t="n"/>
      <c r="R43" s="122" t="n"/>
      <c r="S43" s="122" t="n"/>
      <c r="T43" s="122" t="n"/>
      <c r="U43" s="122" t="n"/>
      <c r="V43" s="122" t="n"/>
      <c r="W43" s="122" t="n"/>
      <c r="X43" s="122" t="n"/>
    </row>
    <row r="44">
      <c r="A44" s="71" t="inlineStr">
        <is>
          <t>Fluxo de caixa livre (R$)</t>
        </is>
      </c>
      <c r="B44" s="122" t="n"/>
      <c r="C44" s="83">
        <f>-C43-'2. Inputs'!C53</f>
        <v/>
      </c>
      <c r="D44" s="83">
        <f>D41+D32-D43-'2. Inputs'!D53+IF(D$22=10,D42,0)</f>
        <v/>
      </c>
      <c r="E44" s="83">
        <f>E41+E32-E43-'2. Inputs'!E53+IF(E$22=10,E42,0)</f>
        <v/>
      </c>
      <c r="F44" s="83">
        <f>F41+F32-F43-'2. Inputs'!F53+IF(F$22=10,F42,0)</f>
        <v/>
      </c>
      <c r="G44" s="83">
        <f>G41+G32-G43-'2. Inputs'!G53+IF(G$22=10,G42,0)</f>
        <v/>
      </c>
      <c r="H44" s="83">
        <f>H41+H32-H43-'2. Inputs'!H53+IF(H$22=10,H42,0)</f>
        <v/>
      </c>
      <c r="I44" s="83">
        <f>I41+I32-I43-'2. Inputs'!I53+IF(I$22=10,I42,0)</f>
        <v/>
      </c>
      <c r="J44" s="83">
        <f>J41+J32-J43-'2. Inputs'!J53+IF(J$22=10,J42,0)</f>
        <v/>
      </c>
      <c r="K44" s="83">
        <f>K41+K32-K43-'2. Inputs'!K53+IF(K$22=10,K42,0)</f>
        <v/>
      </c>
      <c r="L44" s="83">
        <f>L41+L32-L43-'2. Inputs'!L53+IF(L$22=10,L42,0)</f>
        <v/>
      </c>
      <c r="M44" s="83">
        <f>M41+M32-M43-'2. Inputs'!M53+IF(M$22=10,M42,0)</f>
        <v/>
      </c>
      <c r="N44" s="84">
        <f>C44/(1+'2. Inputs'!$C$81)^C22</f>
        <v/>
      </c>
      <c r="O44" s="84">
        <f>N44+D44/(1+'2. Inputs'!$C$81)^D22</f>
        <v/>
      </c>
      <c r="P44" s="84">
        <f>O44+E44/(1+'2. Inputs'!$C$81)^E22</f>
        <v/>
      </c>
      <c r="Q44" s="84">
        <f>P44+F44/(1+'2. Inputs'!$C$81)^F22</f>
        <v/>
      </c>
      <c r="R44" s="84">
        <f>Q44+G44/(1+'2. Inputs'!$C$81)^G22</f>
        <v/>
      </c>
      <c r="S44" s="84">
        <f>R44+H44/(1+'2. Inputs'!$C$81)^H22</f>
        <v/>
      </c>
      <c r="T44" s="84">
        <f>S44+I44/(1+'2. Inputs'!$C$81)^I22</f>
        <v/>
      </c>
      <c r="U44" s="84">
        <f>T44+J44/(1+'2. Inputs'!$C$81)^J22</f>
        <v/>
      </c>
      <c r="V44" s="84">
        <f>U44+K44/(1+'2. Inputs'!$C$81)^K22</f>
        <v/>
      </c>
      <c r="W44" s="84">
        <f>V44+L44/(1+'2. Inputs'!$C$81)^L22</f>
        <v/>
      </c>
      <c r="X44" s="84">
        <f>W44+M44/(1+'2. Inputs'!$C$81)^M22</f>
        <v/>
      </c>
    </row>
    <row r="45">
      <c r="A45" s="122" t="n"/>
      <c r="B45" s="122" t="n"/>
      <c r="C45" s="122" t="n"/>
      <c r="D45" s="122" t="n"/>
      <c r="E45" s="122" t="n"/>
      <c r="F45" s="122" t="n"/>
      <c r="G45" s="122" t="n"/>
      <c r="H45" s="122" t="n"/>
      <c r="I45" s="122" t="n"/>
      <c r="J45" s="122" t="n"/>
      <c r="K45" s="122" t="n"/>
      <c r="L45" s="122" t="n"/>
      <c r="M45" s="122" t="n"/>
      <c r="N45" s="122" t="n"/>
      <c r="O45" s="122" t="n"/>
      <c r="P45" s="122" t="n"/>
      <c r="Q45" s="122" t="n"/>
      <c r="R45" s="122" t="n"/>
      <c r="S45" s="122" t="n"/>
      <c r="T45" s="122" t="n"/>
      <c r="U45" s="122" t="n"/>
      <c r="V45" s="122" t="n"/>
      <c r="W45" s="122" t="n"/>
      <c r="X45" s="122" t="n"/>
    </row>
    <row r="46">
      <c r="A46" s="15" t="inlineStr">
        <is>
          <t>CORRIDA 2 — Base</t>
        </is>
      </c>
      <c r="B46" s="126" t="n"/>
      <c r="C46" s="126" t="n"/>
      <c r="D46" s="126" t="n"/>
      <c r="E46" s="126" t="n"/>
      <c r="F46" s="126" t="n"/>
      <c r="G46" s="126" t="n"/>
      <c r="H46" s="126" t="n"/>
      <c r="I46" s="126" t="n"/>
      <c r="J46" s="126" t="n"/>
      <c r="K46" s="126" t="n"/>
      <c r="L46" s="126" t="n"/>
      <c r="M46" s="126" t="n"/>
      <c r="N46" s="122" t="n"/>
      <c r="O46" s="122" t="n"/>
      <c r="P46" s="122" t="n"/>
      <c r="Q46" s="122" t="n"/>
      <c r="R46" s="122" t="n"/>
      <c r="S46" s="122" t="n"/>
      <c r="T46" s="122" t="n"/>
      <c r="U46" s="122" t="n"/>
      <c r="V46" s="122" t="n"/>
      <c r="W46" s="122" t="n"/>
      <c r="X46" s="122" t="n"/>
    </row>
    <row r="47">
      <c r="A47" s="78" t="inlineStr">
        <is>
          <t>Ano</t>
        </is>
      </c>
      <c r="B47" s="122" t="n"/>
      <c r="C47" s="79" t="n">
        <v>0</v>
      </c>
      <c r="D47" s="79" t="n">
        <v>1</v>
      </c>
      <c r="E47" s="79" t="n">
        <v>2</v>
      </c>
      <c r="F47" s="79" t="n">
        <v>3</v>
      </c>
      <c r="G47" s="79" t="n">
        <v>4</v>
      </c>
      <c r="H47" s="79" t="n">
        <v>5</v>
      </c>
      <c r="I47" s="79" t="n">
        <v>6</v>
      </c>
      <c r="J47" s="79" t="n">
        <v>7</v>
      </c>
      <c r="K47" s="79" t="n">
        <v>8</v>
      </c>
      <c r="L47" s="79" t="n">
        <v>9</v>
      </c>
      <c r="M47" s="79" t="n">
        <v>10</v>
      </c>
      <c r="N47" s="122" t="n"/>
      <c r="O47" s="122" t="n"/>
      <c r="P47" s="122" t="n"/>
      <c r="Q47" s="122" t="n"/>
      <c r="R47" s="122" t="n"/>
      <c r="S47" s="122" t="n"/>
      <c r="T47" s="122" t="n"/>
      <c r="U47" s="122" t="n"/>
      <c r="V47" s="122" t="n"/>
      <c r="W47" s="122" t="n"/>
      <c r="X47" s="122" t="n"/>
    </row>
    <row r="48">
      <c r="A48" s="71" t="inlineStr">
        <is>
          <t>Volume (un)</t>
        </is>
      </c>
      <c r="B48" s="122" t="n"/>
      <c r="C48" s="76" t="n"/>
      <c r="D48" s="76">
        <f>'2. Inputs'!D11*(1+$C$8)</f>
        <v/>
      </c>
      <c r="E48" s="76">
        <f>'2. Inputs'!E11*(1+$C$8)</f>
        <v/>
      </c>
      <c r="F48" s="76">
        <f>'2. Inputs'!F11*(1+$C$8)</f>
        <v/>
      </c>
      <c r="G48" s="76">
        <f>'2. Inputs'!G11*(1+$C$8)</f>
        <v/>
      </c>
      <c r="H48" s="76">
        <f>'2. Inputs'!H11*(1+$C$8)</f>
        <v/>
      </c>
      <c r="I48" s="76">
        <f>'2. Inputs'!I11*(1+$C$8)</f>
        <v/>
      </c>
      <c r="J48" s="76">
        <f>'2. Inputs'!J11*(1+$C$8)</f>
        <v/>
      </c>
      <c r="K48" s="76">
        <f>'2. Inputs'!K11*(1+$C$8)</f>
        <v/>
      </c>
      <c r="L48" s="76">
        <f>'2. Inputs'!L11*(1+$C$8)</f>
        <v/>
      </c>
      <c r="M48" s="76">
        <f>'2. Inputs'!M11*(1+$C$8)</f>
        <v/>
      </c>
      <c r="N48" s="122" t="n"/>
      <c r="O48" s="122" t="n"/>
      <c r="P48" s="122" t="n"/>
      <c r="Q48" s="122" t="n"/>
      <c r="R48" s="122" t="n"/>
      <c r="S48" s="122" t="n"/>
      <c r="T48" s="122" t="n"/>
      <c r="U48" s="122" t="n"/>
      <c r="V48" s="122" t="n"/>
      <c r="W48" s="122" t="n"/>
      <c r="X48" s="122" t="n"/>
    </row>
    <row r="49">
      <c r="A49" s="71" t="inlineStr">
        <is>
          <t>Frete unitário (R$/un)</t>
        </is>
      </c>
      <c r="B49" s="80">
        <f>('2. Inputs'!D25*'2. Inputs'!$C$96+'2. Inputs'!D26*'2. Inputs'!$C$97+'2. Inputs'!D27*'2. Inputs'!$C$98+'2. Inputs'!D28*'2. Inputs'!$C$99)/'2. Inputs'!$C$100</f>
        <v/>
      </c>
      <c r="C49" s="81" t="n"/>
      <c r="D49" s="81">
        <f>$G$8*'2. Inputs'!D24+(1-$G$8)*$B$49</f>
        <v/>
      </c>
      <c r="E49" s="81">
        <f>$G$8*'2. Inputs'!E24+(1-$G$8)*$B$49</f>
        <v/>
      </c>
      <c r="F49" s="81">
        <f>$G$8*'2. Inputs'!F24+(1-$G$8)*$B$49</f>
        <v/>
      </c>
      <c r="G49" s="81">
        <f>$G$8*'2. Inputs'!G24+(1-$G$8)*$B$49</f>
        <v/>
      </c>
      <c r="H49" s="81">
        <f>$G$8*'2. Inputs'!H24+(1-$G$8)*$B$49</f>
        <v/>
      </c>
      <c r="I49" s="81">
        <f>$G$8*'2. Inputs'!I24+(1-$G$8)*$B$49</f>
        <v/>
      </c>
      <c r="J49" s="81">
        <f>$G$8*'2. Inputs'!J24+(1-$G$8)*$B$49</f>
        <v/>
      </c>
      <c r="K49" s="81">
        <f>$G$8*'2. Inputs'!K24+(1-$G$8)*$B$49</f>
        <v/>
      </c>
      <c r="L49" s="81">
        <f>$G$8*'2. Inputs'!L24+(1-$G$8)*$B$49</f>
        <v/>
      </c>
      <c r="M49" s="81">
        <f>$G$8*'2. Inputs'!M24+(1-$G$8)*$B$49</f>
        <v/>
      </c>
      <c r="N49" s="122" t="n"/>
      <c r="O49" s="2" t="inlineStr">
        <is>
          <t>Coluna B: frete unitário médio fora do Sudeste, nas proporções da origem (Sul 5%, NE 3%, N 2%, CO 10%).</t>
        </is>
      </c>
      <c r="P49" s="122" t="n"/>
      <c r="Q49" s="122" t="n"/>
      <c r="R49" s="122" t="n"/>
      <c r="S49" s="122" t="n"/>
      <c r="T49" s="122" t="n"/>
      <c r="U49" s="122" t="n"/>
      <c r="V49" s="122" t="n"/>
      <c r="W49" s="122" t="n"/>
      <c r="X49" s="122" t="n"/>
    </row>
    <row r="50">
      <c r="A50" s="71" t="inlineStr">
        <is>
          <t>Custo variável unitário (R$/un)</t>
        </is>
      </c>
      <c r="B50" s="122" t="n"/>
      <c r="C50" s="82" t="n"/>
      <c r="D50" s="82">
        <f>'2. Inputs'!D43*(1+$E$8)</f>
        <v/>
      </c>
      <c r="E50" s="82">
        <f>'2. Inputs'!E43*(1+$E$8)</f>
        <v/>
      </c>
      <c r="F50" s="82">
        <f>'2. Inputs'!F43*(1+$E$8)</f>
        <v/>
      </c>
      <c r="G50" s="82">
        <f>'2. Inputs'!G43*(1+$E$8)</f>
        <v/>
      </c>
      <c r="H50" s="82">
        <f>'2. Inputs'!H43*(1+$E$8)</f>
        <v/>
      </c>
      <c r="I50" s="82">
        <f>'2. Inputs'!I43*(1+$E$8)</f>
        <v/>
      </c>
      <c r="J50" s="82">
        <f>'2. Inputs'!J43*(1+$E$8)</f>
        <v/>
      </c>
      <c r="K50" s="82">
        <f>'2. Inputs'!K43*(1+$E$8)</f>
        <v/>
      </c>
      <c r="L50" s="82">
        <f>'2. Inputs'!L43*(1+$E$8)</f>
        <v/>
      </c>
      <c r="M50" s="82">
        <f>'2. Inputs'!M43*(1+$E$8)</f>
        <v/>
      </c>
      <c r="N50" s="122" t="n"/>
      <c r="O50" s="122" t="n"/>
      <c r="P50" s="122" t="n"/>
      <c r="Q50" s="122" t="n"/>
      <c r="R50" s="122" t="n"/>
      <c r="S50" s="122" t="n"/>
      <c r="T50" s="122" t="n"/>
      <c r="U50" s="122" t="n"/>
      <c r="V50" s="122" t="n"/>
      <c r="W50" s="122" t="n"/>
      <c r="X50" s="122" t="n"/>
    </row>
    <row r="51">
      <c r="A51" s="71" t="inlineStr">
        <is>
          <t>Markup total (%)</t>
        </is>
      </c>
      <c r="B51" s="122" t="n"/>
      <c r="C51" s="72" t="n"/>
      <c r="D51" s="72">
        <f>'2. Inputs'!D32+'2. Inputs'!D33+'2. Inputs'!D34+'2. Inputs'!D35+'2. Inputs'!D36+$D$8</f>
        <v/>
      </c>
      <c r="E51" s="72">
        <f>'2. Inputs'!E32+'2. Inputs'!E33+'2. Inputs'!E34+'2. Inputs'!E35+'2. Inputs'!E36+$D$8</f>
        <v/>
      </c>
      <c r="F51" s="72">
        <f>'2. Inputs'!F32+'2. Inputs'!F33+'2. Inputs'!F34+'2. Inputs'!F35+'2. Inputs'!F36+$D$8</f>
        <v/>
      </c>
      <c r="G51" s="72">
        <f>'2. Inputs'!G32+'2. Inputs'!G33+'2. Inputs'!G34+'2. Inputs'!G35+'2. Inputs'!G36+$D$8</f>
        <v/>
      </c>
      <c r="H51" s="72">
        <f>'2. Inputs'!H32+'2. Inputs'!H33+'2. Inputs'!H34+'2. Inputs'!H35+'2. Inputs'!H36+$D$8</f>
        <v/>
      </c>
      <c r="I51" s="72">
        <f>'2. Inputs'!I32+'2. Inputs'!I33+'2. Inputs'!I34+'2. Inputs'!I35+'2. Inputs'!I36+$D$8</f>
        <v/>
      </c>
      <c r="J51" s="72">
        <f>'2. Inputs'!J32+'2. Inputs'!J33+'2. Inputs'!J34+'2. Inputs'!J35+'2. Inputs'!J36+$D$8</f>
        <v/>
      </c>
      <c r="K51" s="72">
        <f>'2. Inputs'!K32+'2. Inputs'!K33+'2. Inputs'!K34+'2. Inputs'!K35+'2. Inputs'!K36+$D$8</f>
        <v/>
      </c>
      <c r="L51" s="72">
        <f>'2. Inputs'!L32+'2. Inputs'!L33+'2. Inputs'!L34+'2. Inputs'!L35+'2. Inputs'!L36+$D$8</f>
        <v/>
      </c>
      <c r="M51" s="72">
        <f>'2. Inputs'!M32+'2. Inputs'!M33+'2. Inputs'!M34+'2. Inputs'!M35+'2. Inputs'!M36+$D$8</f>
        <v/>
      </c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22" t="n"/>
      <c r="W51" s="122" t="n"/>
      <c r="X51" s="122" t="n"/>
    </row>
    <row r="52">
      <c r="A52" s="71" t="inlineStr">
        <is>
          <t>Custo variável (R$)</t>
        </is>
      </c>
      <c r="B52" s="122" t="n"/>
      <c r="C52" s="76" t="n"/>
      <c r="D52" s="76">
        <f>D48*D50</f>
        <v/>
      </c>
      <c r="E52" s="76">
        <f>E48*E50</f>
        <v/>
      </c>
      <c r="F52" s="76">
        <f>F48*F50</f>
        <v/>
      </c>
      <c r="G52" s="76">
        <f>G48*G50</f>
        <v/>
      </c>
      <c r="H52" s="76">
        <f>H48*H50</f>
        <v/>
      </c>
      <c r="I52" s="76">
        <f>I48*I50</f>
        <v/>
      </c>
      <c r="J52" s="76">
        <f>J48*J50</f>
        <v/>
      </c>
      <c r="K52" s="76">
        <f>K48*K50</f>
        <v/>
      </c>
      <c r="L52" s="76">
        <f>L48*L50</f>
        <v/>
      </c>
      <c r="M52" s="76">
        <f>M48*M50</f>
        <v/>
      </c>
      <c r="N52" s="122" t="n"/>
      <c r="O52" s="122" t="n"/>
      <c r="P52" s="122" t="n"/>
      <c r="Q52" s="122" t="n"/>
      <c r="R52" s="122" t="n"/>
      <c r="S52" s="122" t="n"/>
      <c r="T52" s="122" t="n"/>
      <c r="U52" s="122" t="n"/>
      <c r="V52" s="122" t="n"/>
      <c r="W52" s="122" t="n"/>
      <c r="X52" s="122" t="n"/>
    </row>
    <row r="53">
      <c r="A53" s="71" t="inlineStr">
        <is>
          <t>Frete (R$)</t>
        </is>
      </c>
      <c r="B53" s="122" t="n"/>
      <c r="C53" s="76" t="n"/>
      <c r="D53" s="76">
        <f>D48*D49</f>
        <v/>
      </c>
      <c r="E53" s="76">
        <f>E48*E49</f>
        <v/>
      </c>
      <c r="F53" s="76">
        <f>F48*F49</f>
        <v/>
      </c>
      <c r="G53" s="76">
        <f>G48*G49</f>
        <v/>
      </c>
      <c r="H53" s="76">
        <f>H48*H49</f>
        <v/>
      </c>
      <c r="I53" s="76">
        <f>I48*I49</f>
        <v/>
      </c>
      <c r="J53" s="76">
        <f>J48*J49</f>
        <v/>
      </c>
      <c r="K53" s="76">
        <f>K48*K49</f>
        <v/>
      </c>
      <c r="L53" s="76">
        <f>L48*L49</f>
        <v/>
      </c>
      <c r="M53" s="76">
        <f>M48*M49</f>
        <v/>
      </c>
      <c r="N53" s="122" t="n"/>
      <c r="O53" s="122" t="n"/>
      <c r="P53" s="122" t="n"/>
      <c r="Q53" s="122" t="n"/>
      <c r="R53" s="122" t="n"/>
      <c r="S53" s="122" t="n"/>
      <c r="T53" s="122" t="n"/>
      <c r="U53" s="122" t="n"/>
      <c r="V53" s="122" t="n"/>
      <c r="W53" s="122" t="n"/>
      <c r="X53" s="122" t="n"/>
    </row>
    <row r="54">
      <c r="A54" s="71" t="inlineStr">
        <is>
          <t>Custo fixo de estrutura (R$)</t>
        </is>
      </c>
      <c r="B54" s="122" t="n"/>
      <c r="C54" s="76" t="n"/>
      <c r="D54" s="76">
        <f>'2. Inputs'!D46</f>
        <v/>
      </c>
      <c r="E54" s="76">
        <f>'2. Inputs'!E46</f>
        <v/>
      </c>
      <c r="F54" s="76">
        <f>'2. Inputs'!F46</f>
        <v/>
      </c>
      <c r="G54" s="76">
        <f>'2. Inputs'!G46</f>
        <v/>
      </c>
      <c r="H54" s="76">
        <f>'2. Inputs'!H46</f>
        <v/>
      </c>
      <c r="I54" s="76">
        <f>'2. Inputs'!I46</f>
        <v/>
      </c>
      <c r="J54" s="76">
        <f>'2. Inputs'!J46</f>
        <v/>
      </c>
      <c r="K54" s="76">
        <f>'2. Inputs'!K46</f>
        <v/>
      </c>
      <c r="L54" s="76">
        <f>'2. Inputs'!L46</f>
        <v/>
      </c>
      <c r="M54" s="76">
        <f>'2. Inputs'!M46</f>
        <v/>
      </c>
      <c r="N54" s="122" t="n"/>
      <c r="O54" s="122" t="n"/>
      <c r="P54" s="122" t="n"/>
      <c r="Q54" s="122" t="n"/>
      <c r="R54" s="122" t="n"/>
      <c r="S54" s="122" t="n"/>
      <c r="T54" s="122" t="n"/>
      <c r="U54" s="122" t="n"/>
      <c r="V54" s="122" t="n"/>
      <c r="W54" s="122" t="n"/>
      <c r="X54" s="122" t="n"/>
    </row>
    <row r="55">
      <c r="A55" s="71" t="inlineStr">
        <is>
          <t>Manutenção e seguro (R$)</t>
        </is>
      </c>
      <c r="B55" s="122" t="n"/>
      <c r="C55" s="76" t="n"/>
      <c r="D55" s="76">
        <f>('2. Inputs'!D47+'2. Inputs'!D48)*'2. Inputs'!D54</f>
        <v/>
      </c>
      <c r="E55" s="76">
        <f>('2. Inputs'!E47+'2. Inputs'!E48)*'2. Inputs'!E54</f>
        <v/>
      </c>
      <c r="F55" s="76">
        <f>('2. Inputs'!F47+'2. Inputs'!F48)*'2. Inputs'!F54</f>
        <v/>
      </c>
      <c r="G55" s="76">
        <f>('2. Inputs'!G47+'2. Inputs'!G48)*'2. Inputs'!G54</f>
        <v/>
      </c>
      <c r="H55" s="76">
        <f>('2. Inputs'!H47+'2. Inputs'!H48)*'2. Inputs'!H54</f>
        <v/>
      </c>
      <c r="I55" s="76">
        <f>('2. Inputs'!I47+'2. Inputs'!I48)*'2. Inputs'!I54</f>
        <v/>
      </c>
      <c r="J55" s="76">
        <f>('2. Inputs'!J47+'2. Inputs'!J48)*'2. Inputs'!J54</f>
        <v/>
      </c>
      <c r="K55" s="76">
        <f>('2. Inputs'!K47+'2. Inputs'!K48)*'2. Inputs'!K54</f>
        <v/>
      </c>
      <c r="L55" s="76">
        <f>('2. Inputs'!L47+'2. Inputs'!L48)*'2. Inputs'!L54</f>
        <v/>
      </c>
      <c r="M55" s="76">
        <f>('2. Inputs'!M47+'2. Inputs'!M48)*'2. Inputs'!M54</f>
        <v/>
      </c>
      <c r="N55" s="122" t="n"/>
      <c r="O55" s="122" t="n"/>
      <c r="P55" s="122" t="n"/>
      <c r="Q55" s="122" t="n"/>
      <c r="R55" s="122" t="n"/>
      <c r="S55" s="122" t="n"/>
      <c r="T55" s="122" t="n"/>
      <c r="U55" s="122" t="n"/>
      <c r="V55" s="122" t="n"/>
      <c r="W55" s="122" t="n"/>
      <c r="X55" s="122" t="n"/>
    </row>
    <row r="56">
      <c r="A56" s="71" t="inlineStr">
        <is>
          <t>Contingência (R$)</t>
        </is>
      </c>
      <c r="B56" s="122" t="n"/>
      <c r="C56" s="76" t="n"/>
      <c r="D56" s="76">
        <f>$F$8*'2. Inputs'!D54</f>
        <v/>
      </c>
      <c r="E56" s="76">
        <f>$F$8*'2. Inputs'!E54</f>
        <v/>
      </c>
      <c r="F56" s="76">
        <f>$F$8*'2. Inputs'!F54</f>
        <v/>
      </c>
      <c r="G56" s="76">
        <f>$F$8*'2. Inputs'!G54</f>
        <v/>
      </c>
      <c r="H56" s="76">
        <f>$F$8*'2. Inputs'!H54</f>
        <v/>
      </c>
      <c r="I56" s="76">
        <f>$F$8*'2. Inputs'!I54</f>
        <v/>
      </c>
      <c r="J56" s="76">
        <f>$F$8*'2. Inputs'!J54</f>
        <v/>
      </c>
      <c r="K56" s="76">
        <f>$F$8*'2. Inputs'!K54</f>
        <v/>
      </c>
      <c r="L56" s="76">
        <f>$F$8*'2. Inputs'!L54</f>
        <v/>
      </c>
      <c r="M56" s="76">
        <f>$F$8*'2. Inputs'!M54</f>
        <v/>
      </c>
      <c r="N56" s="122" t="n"/>
      <c r="O56" s="122" t="n"/>
      <c r="P56" s="122" t="n"/>
      <c r="Q56" s="122" t="n"/>
      <c r="R56" s="122" t="n"/>
      <c r="S56" s="122" t="n"/>
      <c r="T56" s="122" t="n"/>
      <c r="U56" s="122" t="n"/>
      <c r="V56" s="122" t="n"/>
      <c r="W56" s="122" t="n"/>
      <c r="X56" s="122" t="n"/>
    </row>
    <row r="57">
      <c r="A57" s="71" t="inlineStr">
        <is>
          <t>Depreciação (R$)</t>
        </is>
      </c>
      <c r="B57" s="122" t="n"/>
      <c r="C57" s="76" t="n"/>
      <c r="D57" s="76">
        <f>'3. Depreciacao'!D31</f>
        <v/>
      </c>
      <c r="E57" s="76">
        <f>'3. Depreciacao'!E31</f>
        <v/>
      </c>
      <c r="F57" s="76">
        <f>'3. Depreciacao'!F31</f>
        <v/>
      </c>
      <c r="G57" s="76">
        <f>'3. Depreciacao'!G31</f>
        <v/>
      </c>
      <c r="H57" s="76">
        <f>'3. Depreciacao'!H31</f>
        <v/>
      </c>
      <c r="I57" s="76">
        <f>'3. Depreciacao'!I31</f>
        <v/>
      </c>
      <c r="J57" s="76">
        <f>'3. Depreciacao'!J31</f>
        <v/>
      </c>
      <c r="K57" s="76">
        <f>'3. Depreciacao'!K31</f>
        <v/>
      </c>
      <c r="L57" s="76">
        <f>'3. Depreciacao'!L31</f>
        <v/>
      </c>
      <c r="M57" s="76">
        <f>'3. Depreciacao'!M31</f>
        <v/>
      </c>
      <c r="N57" s="122" t="n"/>
      <c r="O57" s="122" t="n"/>
      <c r="P57" s="122" t="n"/>
      <c r="Q57" s="122" t="n"/>
      <c r="R57" s="122" t="n"/>
      <c r="S57" s="122" t="n"/>
      <c r="T57" s="122" t="n"/>
      <c r="U57" s="122" t="n"/>
      <c r="V57" s="122" t="n"/>
      <c r="W57" s="122" t="n"/>
      <c r="X57" s="122" t="n"/>
    </row>
    <row r="58">
      <c r="A58" s="71" t="inlineStr">
        <is>
          <t>Custo total (R$)</t>
        </is>
      </c>
      <c r="B58" s="122" t="n"/>
      <c r="C58" s="76" t="n"/>
      <c r="D58" s="76">
        <f>SUM(D52:D57)</f>
        <v/>
      </c>
      <c r="E58" s="76">
        <f>SUM(E52:E57)</f>
        <v/>
      </c>
      <c r="F58" s="76">
        <f>SUM(F52:F57)</f>
        <v/>
      </c>
      <c r="G58" s="76">
        <f>SUM(G52:G57)</f>
        <v/>
      </c>
      <c r="H58" s="76">
        <f>SUM(H52:H57)</f>
        <v/>
      </c>
      <c r="I58" s="76">
        <f>SUM(I52:I57)</f>
        <v/>
      </c>
      <c r="J58" s="76">
        <f>SUM(J52:J57)</f>
        <v/>
      </c>
      <c r="K58" s="76">
        <f>SUM(K52:K57)</f>
        <v/>
      </c>
      <c r="L58" s="76">
        <f>SUM(L52:L57)</f>
        <v/>
      </c>
      <c r="M58" s="76">
        <f>SUM(M52:M57)</f>
        <v/>
      </c>
      <c r="N58" s="122" t="n"/>
      <c r="O58" s="122" t="n"/>
      <c r="P58" s="122" t="n"/>
      <c r="Q58" s="122" t="n"/>
      <c r="R58" s="122" t="n"/>
      <c r="S58" s="122" t="n"/>
      <c r="T58" s="122" t="n"/>
      <c r="U58" s="122" t="n"/>
      <c r="V58" s="122" t="n"/>
      <c r="W58" s="122" t="n"/>
      <c r="X58" s="122" t="n"/>
    </row>
    <row r="59">
      <c r="A59" s="71" t="inlineStr">
        <is>
          <t>Preço bruto unitário (R$/un)</t>
        </is>
      </c>
      <c r="B59" s="122" t="n"/>
      <c r="C59" s="82" t="n"/>
      <c r="D59" s="82">
        <f>IF('2. Inputs'!$C$38=1,D58/D48/(1-D51),'2. Inputs'!D39)</f>
        <v/>
      </c>
      <c r="E59" s="82">
        <f>IF('2. Inputs'!$C$38=1,E58/E48/(1-E51),'2. Inputs'!E39)</f>
        <v/>
      </c>
      <c r="F59" s="82">
        <f>IF('2. Inputs'!$C$38=1,F58/F48/(1-F51),'2. Inputs'!F39)</f>
        <v/>
      </c>
      <c r="G59" s="82">
        <f>IF('2. Inputs'!$C$38=1,G58/G48/(1-G51),'2. Inputs'!G39)</f>
        <v/>
      </c>
      <c r="H59" s="82">
        <f>IF('2. Inputs'!$C$38=1,H58/H48/(1-H51),'2. Inputs'!H39)</f>
        <v/>
      </c>
      <c r="I59" s="82">
        <f>IF('2. Inputs'!$C$38=1,I58/I48/(1-I51),'2. Inputs'!I39)</f>
        <v/>
      </c>
      <c r="J59" s="82">
        <f>IF('2. Inputs'!$C$38=1,J58/J48/(1-J51),'2. Inputs'!J39)</f>
        <v/>
      </c>
      <c r="K59" s="82">
        <f>IF('2. Inputs'!$C$38=1,K58/K48/(1-K51),'2. Inputs'!K39)</f>
        <v/>
      </c>
      <c r="L59" s="82">
        <f>IF('2. Inputs'!$C$38=1,L58/L48/(1-L51),'2. Inputs'!L39)</f>
        <v/>
      </c>
      <c r="M59" s="82">
        <f>IF('2. Inputs'!$C$38=1,M58/M48/(1-M51),'2. Inputs'!M39)</f>
        <v/>
      </c>
      <c r="N59" s="122" t="n"/>
      <c r="O59" s="122" t="n"/>
      <c r="P59" s="122" t="n"/>
      <c r="Q59" s="122" t="n"/>
      <c r="R59" s="122" t="n"/>
      <c r="S59" s="122" t="n"/>
      <c r="T59" s="122" t="n"/>
      <c r="U59" s="122" t="n"/>
      <c r="V59" s="122" t="n"/>
      <c r="W59" s="122" t="n"/>
      <c r="X59" s="122" t="n"/>
    </row>
    <row r="60">
      <c r="A60" s="71" t="inlineStr">
        <is>
          <t>Receita bruta (R$)</t>
        </is>
      </c>
      <c r="B60" s="122" t="n"/>
      <c r="C60" s="76" t="n"/>
      <c r="D60" s="76">
        <f>D48*D59</f>
        <v/>
      </c>
      <c r="E60" s="76">
        <f>E48*E59</f>
        <v/>
      </c>
      <c r="F60" s="76">
        <f>F48*F59</f>
        <v/>
      </c>
      <c r="G60" s="76">
        <f>G48*G59</f>
        <v/>
      </c>
      <c r="H60" s="76">
        <f>H48*H59</f>
        <v/>
      </c>
      <c r="I60" s="76">
        <f>I48*I59</f>
        <v/>
      </c>
      <c r="J60" s="76">
        <f>J48*J59</f>
        <v/>
      </c>
      <c r="K60" s="76">
        <f>K48*K59</f>
        <v/>
      </c>
      <c r="L60" s="76">
        <f>L48*L59</f>
        <v/>
      </c>
      <c r="M60" s="76">
        <f>M48*M59</f>
        <v/>
      </c>
      <c r="N60" s="122" t="n"/>
      <c r="O60" s="122" t="n"/>
      <c r="P60" s="122" t="n"/>
      <c r="Q60" s="122" t="n"/>
      <c r="R60" s="122" t="n"/>
      <c r="S60" s="122" t="n"/>
      <c r="T60" s="122" t="n"/>
      <c r="U60" s="122" t="n"/>
      <c r="V60" s="122" t="n"/>
      <c r="W60" s="122" t="n"/>
      <c r="X60" s="122" t="n"/>
    </row>
    <row r="61">
      <c r="A61" s="71" t="inlineStr">
        <is>
          <t>Comissão (R$)</t>
        </is>
      </c>
      <c r="B61" s="122" t="n"/>
      <c r="C61" s="76" t="n"/>
      <c r="D61" s="76">
        <f>'2. Inputs'!D35*D60</f>
        <v/>
      </c>
      <c r="E61" s="76">
        <f>'2. Inputs'!E35*E60</f>
        <v/>
      </c>
      <c r="F61" s="76">
        <f>'2. Inputs'!F35*F60</f>
        <v/>
      </c>
      <c r="G61" s="76">
        <f>'2. Inputs'!G35*G60</f>
        <v/>
      </c>
      <c r="H61" s="76">
        <f>'2. Inputs'!H35*H60</f>
        <v/>
      </c>
      <c r="I61" s="76">
        <f>'2. Inputs'!I35*I60</f>
        <v/>
      </c>
      <c r="J61" s="76">
        <f>'2. Inputs'!J35*J60</f>
        <v/>
      </c>
      <c r="K61" s="76">
        <f>'2. Inputs'!K35*K60</f>
        <v/>
      </c>
      <c r="L61" s="76">
        <f>'2. Inputs'!L35*L60</f>
        <v/>
      </c>
      <c r="M61" s="76">
        <f>'2. Inputs'!M35*M60</f>
        <v/>
      </c>
      <c r="N61" s="122" t="n"/>
      <c r="O61" s="122" t="n"/>
      <c r="P61" s="122" t="n"/>
      <c r="Q61" s="122" t="n"/>
      <c r="R61" s="122" t="n"/>
      <c r="S61" s="122" t="n"/>
      <c r="T61" s="122" t="n"/>
      <c r="U61" s="122" t="n"/>
      <c r="V61" s="122" t="n"/>
      <c r="W61" s="122" t="n"/>
      <c r="X61" s="122" t="n"/>
    </row>
    <row r="62">
      <c r="A62" s="71" t="inlineStr">
        <is>
          <t>Receita líquida (R$)</t>
        </is>
      </c>
      <c r="B62" s="122" t="n"/>
      <c r="C62" s="76" t="n"/>
      <c r="D62" s="76">
        <f>D60*(1-'2. Inputs'!D32-'2. Inputs'!D33-'2. Inputs'!D34)</f>
        <v/>
      </c>
      <c r="E62" s="76">
        <f>E60*(1-'2. Inputs'!E32-'2. Inputs'!E33-'2. Inputs'!E34)</f>
        <v/>
      </c>
      <c r="F62" s="76">
        <f>F60*(1-'2. Inputs'!F32-'2. Inputs'!F33-'2. Inputs'!F34)</f>
        <v/>
      </c>
      <c r="G62" s="76">
        <f>G60*(1-'2. Inputs'!G32-'2. Inputs'!G33-'2. Inputs'!G34)</f>
        <v/>
      </c>
      <c r="H62" s="76">
        <f>H60*(1-'2. Inputs'!H32-'2. Inputs'!H33-'2. Inputs'!H34)</f>
        <v/>
      </c>
      <c r="I62" s="76">
        <f>I60*(1-'2. Inputs'!I32-'2. Inputs'!I33-'2. Inputs'!I34)</f>
        <v/>
      </c>
      <c r="J62" s="76">
        <f>J60*(1-'2. Inputs'!J32-'2. Inputs'!J33-'2. Inputs'!J34)</f>
        <v/>
      </c>
      <c r="K62" s="76">
        <f>K60*(1-'2. Inputs'!K32-'2. Inputs'!K33-'2. Inputs'!K34)</f>
        <v/>
      </c>
      <c r="L62" s="76">
        <f>L60*(1-'2. Inputs'!L32-'2. Inputs'!L33-'2. Inputs'!L34)</f>
        <v/>
      </c>
      <c r="M62" s="76">
        <f>M60*(1-'2. Inputs'!M32-'2. Inputs'!M33-'2. Inputs'!M34)</f>
        <v/>
      </c>
      <c r="N62" s="122" t="n"/>
      <c r="O62" s="122" t="n"/>
      <c r="P62" s="122" t="n"/>
      <c r="Q62" s="122" t="n"/>
      <c r="R62" s="122" t="n"/>
      <c r="S62" s="122" t="n"/>
      <c r="T62" s="122" t="n"/>
      <c r="U62" s="122" t="n"/>
      <c r="V62" s="122" t="n"/>
      <c r="W62" s="122" t="n"/>
      <c r="X62" s="122" t="n"/>
    </row>
    <row r="63">
      <c r="A63" s="71" t="inlineStr">
        <is>
          <t>EBITDA (R$)</t>
        </is>
      </c>
      <c r="B63" s="122" t="n"/>
      <c r="C63" s="76" t="n"/>
      <c r="D63" s="76">
        <f>D62-D52-D53-D61-D54-D55-D56</f>
        <v/>
      </c>
      <c r="E63" s="76">
        <f>E62-E52-E53-E61-E54-E55-E56</f>
        <v/>
      </c>
      <c r="F63" s="76">
        <f>F62-F52-F53-F61-F54-F55-F56</f>
        <v/>
      </c>
      <c r="G63" s="76">
        <f>G62-G52-G53-G61-G54-G55-G56</f>
        <v/>
      </c>
      <c r="H63" s="76">
        <f>H62-H52-H53-H61-H54-H55-H56</f>
        <v/>
      </c>
      <c r="I63" s="76">
        <f>I62-I52-I53-I61-I54-I55-I56</f>
        <v/>
      </c>
      <c r="J63" s="76">
        <f>J62-J52-J53-J61-J54-J55-J56</f>
        <v/>
      </c>
      <c r="K63" s="76">
        <f>K62-K52-K53-K61-K54-K55-K56</f>
        <v/>
      </c>
      <c r="L63" s="76">
        <f>L62-L52-L53-L61-L54-L55-L56</f>
        <v/>
      </c>
      <c r="M63" s="76">
        <f>M62-M52-M53-M61-M54-M55-M56</f>
        <v/>
      </c>
      <c r="N63" s="122" t="n"/>
      <c r="O63" s="122" t="n"/>
      <c r="P63" s="122" t="n"/>
      <c r="Q63" s="122" t="n"/>
      <c r="R63" s="122" t="n"/>
      <c r="S63" s="122" t="n"/>
      <c r="T63" s="122" t="n"/>
      <c r="U63" s="122" t="n"/>
      <c r="V63" s="122" t="n"/>
      <c r="W63" s="122" t="n"/>
      <c r="X63" s="122" t="n"/>
    </row>
    <row r="64">
      <c r="A64" s="71" t="inlineStr">
        <is>
          <t>EBIT (R$)</t>
        </is>
      </c>
      <c r="B64" s="122" t="n"/>
      <c r="C64" s="76" t="n"/>
      <c r="D64" s="76">
        <f>D63-D57</f>
        <v/>
      </c>
      <c r="E64" s="76">
        <f>E63-E57</f>
        <v/>
      </c>
      <c r="F64" s="76">
        <f>F63-F57</f>
        <v/>
      </c>
      <c r="G64" s="76">
        <f>G63-G57</f>
        <v/>
      </c>
      <c r="H64" s="76">
        <f>H63-H57</f>
        <v/>
      </c>
      <c r="I64" s="76">
        <f>I63-I57</f>
        <v/>
      </c>
      <c r="J64" s="76">
        <f>J63-J57</f>
        <v/>
      </c>
      <c r="K64" s="76">
        <f>K63-K57</f>
        <v/>
      </c>
      <c r="L64" s="76">
        <f>L63-L57</f>
        <v/>
      </c>
      <c r="M64" s="76">
        <f>M63-M57</f>
        <v/>
      </c>
      <c r="N64" s="122" t="n"/>
      <c r="O64" s="122" t="n"/>
      <c r="P64" s="122" t="n"/>
      <c r="Q64" s="122" t="n"/>
      <c r="R64" s="122" t="n"/>
      <c r="S64" s="122" t="n"/>
      <c r="T64" s="122" t="n"/>
      <c r="U64" s="122" t="n"/>
      <c r="V64" s="122" t="n"/>
      <c r="W64" s="122" t="n"/>
      <c r="X64" s="122" t="n"/>
    </row>
    <row r="65">
      <c r="A65" s="71" t="inlineStr">
        <is>
          <t>IRPJ + adicional + CSLL (R$)</t>
        </is>
      </c>
      <c r="B65" s="122" t="n"/>
      <c r="C65" s="76" t="n"/>
      <c r="D65" s="76">
        <f>IF(D64&gt;0,'2. Inputs'!D58*D64+'2. Inputs'!D59*MAX(0,D64-'2. Inputs'!D60)+'2. Inputs'!D61*D64,0)</f>
        <v/>
      </c>
      <c r="E65" s="76">
        <f>IF(E64&gt;0,'2. Inputs'!E58*E64+'2. Inputs'!E59*MAX(0,E64-'2. Inputs'!E60)+'2. Inputs'!E61*E64,0)</f>
        <v/>
      </c>
      <c r="F65" s="76">
        <f>IF(F64&gt;0,'2. Inputs'!F58*F64+'2. Inputs'!F59*MAX(0,F64-'2. Inputs'!F60)+'2. Inputs'!F61*F64,0)</f>
        <v/>
      </c>
      <c r="G65" s="76">
        <f>IF(G64&gt;0,'2. Inputs'!G58*G64+'2. Inputs'!G59*MAX(0,G64-'2. Inputs'!G60)+'2. Inputs'!G61*G64,0)</f>
        <v/>
      </c>
      <c r="H65" s="76">
        <f>IF(H64&gt;0,'2. Inputs'!H58*H64+'2. Inputs'!H59*MAX(0,H64-'2. Inputs'!H60)+'2. Inputs'!H61*H64,0)</f>
        <v/>
      </c>
      <c r="I65" s="76">
        <f>IF(I64&gt;0,'2. Inputs'!I58*I64+'2. Inputs'!I59*MAX(0,I64-'2. Inputs'!I60)+'2. Inputs'!I61*I64,0)</f>
        <v/>
      </c>
      <c r="J65" s="76">
        <f>IF(J64&gt;0,'2. Inputs'!J58*J64+'2. Inputs'!J59*MAX(0,J64-'2. Inputs'!J60)+'2. Inputs'!J61*J64,0)</f>
        <v/>
      </c>
      <c r="K65" s="76">
        <f>IF(K64&gt;0,'2. Inputs'!K58*K64+'2. Inputs'!K59*MAX(0,K64-'2. Inputs'!K60)+'2. Inputs'!K61*K64,0)</f>
        <v/>
      </c>
      <c r="L65" s="76">
        <f>IF(L64&gt;0,'2. Inputs'!L58*L64+'2. Inputs'!L59*MAX(0,L64-'2. Inputs'!L60)+'2. Inputs'!L61*L64,0)</f>
        <v/>
      </c>
      <c r="M65" s="76">
        <f>IF(M64&gt;0,'2. Inputs'!M58*M64+'2. Inputs'!M59*MAX(0,M64-'2. Inputs'!M60)+'2. Inputs'!M61*M64,0)</f>
        <v/>
      </c>
      <c r="N65" s="122" t="n"/>
      <c r="O65" s="122" t="n"/>
      <c r="P65" s="122" t="n"/>
      <c r="Q65" s="122" t="n"/>
      <c r="R65" s="122" t="n"/>
      <c r="S65" s="122" t="n"/>
      <c r="T65" s="122" t="n"/>
      <c r="U65" s="122" t="n"/>
      <c r="V65" s="122" t="n"/>
      <c r="W65" s="122" t="n"/>
      <c r="X65" s="122" t="n"/>
    </row>
    <row r="66">
      <c r="A66" s="71" t="inlineStr">
        <is>
          <t>NOPAT (R$)</t>
        </is>
      </c>
      <c r="B66" s="122" t="n"/>
      <c r="C66" s="76" t="n"/>
      <c r="D66" s="76">
        <f>D64-D65</f>
        <v/>
      </c>
      <c r="E66" s="76">
        <f>E64-E65</f>
        <v/>
      </c>
      <c r="F66" s="76">
        <f>F64-F65</f>
        <v/>
      </c>
      <c r="G66" s="76">
        <f>G64-G65</f>
        <v/>
      </c>
      <c r="H66" s="76">
        <f>H64-H65</f>
        <v/>
      </c>
      <c r="I66" s="76">
        <f>I64-I65</f>
        <v/>
      </c>
      <c r="J66" s="76">
        <f>J64-J65</f>
        <v/>
      </c>
      <c r="K66" s="76">
        <f>K64-K65</f>
        <v/>
      </c>
      <c r="L66" s="76">
        <f>L64-L65</f>
        <v/>
      </c>
      <c r="M66" s="76">
        <f>M64-M65</f>
        <v/>
      </c>
      <c r="N66" s="122" t="n"/>
      <c r="O66" s="122" t="n"/>
      <c r="P66" s="122" t="n"/>
      <c r="Q66" s="122" t="n"/>
      <c r="R66" s="122" t="n"/>
      <c r="S66" s="122" t="n"/>
      <c r="T66" s="122" t="n"/>
      <c r="U66" s="122" t="n"/>
      <c r="V66" s="122" t="n"/>
      <c r="W66" s="122" t="n"/>
      <c r="X66" s="122" t="n"/>
    </row>
    <row r="67">
      <c r="A67" s="71" t="inlineStr">
        <is>
          <t>Capital de giro (R$)</t>
        </is>
      </c>
      <c r="B67" s="122" t="n"/>
      <c r="C67" s="76">
        <f>D67</f>
        <v/>
      </c>
      <c r="D67" s="76">
        <f>'2. Inputs'!D64/'2. Inputs'!D68*D60+'2. Inputs'!D65/'2. Inputs'!D68*(D52+D53)+'2. Inputs'!D67/'2. Inputs'!D68*(D52+D53+D61+D54+D55+D56)-'2. Inputs'!D66/'2. Inputs'!D68*(D52+D53)</f>
        <v/>
      </c>
      <c r="E67" s="76">
        <f>'2. Inputs'!E64/'2. Inputs'!E68*E60+'2. Inputs'!E65/'2. Inputs'!E68*(E52+E53)+'2. Inputs'!E67/'2. Inputs'!E68*(E52+E53+E61+E54+E55+E56)-'2. Inputs'!E66/'2. Inputs'!E68*(E52+E53)</f>
        <v/>
      </c>
      <c r="F67" s="76">
        <f>'2. Inputs'!F64/'2. Inputs'!F68*F60+'2. Inputs'!F65/'2. Inputs'!F68*(F52+F53)+'2. Inputs'!F67/'2. Inputs'!F68*(F52+F53+F61+F54+F55+F56)-'2. Inputs'!F66/'2. Inputs'!F68*(F52+F53)</f>
        <v/>
      </c>
      <c r="G67" s="76">
        <f>'2. Inputs'!G64/'2. Inputs'!G68*G60+'2. Inputs'!G65/'2. Inputs'!G68*(G52+G53)+'2. Inputs'!G67/'2. Inputs'!G68*(G52+G53+G61+G54+G55+G56)-'2. Inputs'!G66/'2. Inputs'!G68*(G52+G53)</f>
        <v/>
      </c>
      <c r="H67" s="76">
        <f>'2. Inputs'!H64/'2. Inputs'!H68*H60+'2. Inputs'!H65/'2. Inputs'!H68*(H52+H53)+'2. Inputs'!H67/'2. Inputs'!H68*(H52+H53+H61+H54+H55+H56)-'2. Inputs'!H66/'2. Inputs'!H68*(H52+H53)</f>
        <v/>
      </c>
      <c r="I67" s="76">
        <f>'2. Inputs'!I64/'2. Inputs'!I68*I60+'2. Inputs'!I65/'2. Inputs'!I68*(I52+I53)+'2. Inputs'!I67/'2. Inputs'!I68*(I52+I53+I61+I54+I55+I56)-'2. Inputs'!I66/'2. Inputs'!I68*(I52+I53)</f>
        <v/>
      </c>
      <c r="J67" s="76">
        <f>'2. Inputs'!J64/'2. Inputs'!J68*J60+'2. Inputs'!J65/'2. Inputs'!J68*(J52+J53)+'2. Inputs'!J67/'2. Inputs'!J68*(J52+J53+J61+J54+J55+J56)-'2. Inputs'!J66/'2. Inputs'!J68*(J52+J53)</f>
        <v/>
      </c>
      <c r="K67" s="76">
        <f>'2. Inputs'!K64/'2. Inputs'!K68*K60+'2. Inputs'!K65/'2. Inputs'!K68*(K52+K53)+'2. Inputs'!K67/'2. Inputs'!K68*(K52+K53+K61+K54+K55+K56)-'2. Inputs'!K66/'2. Inputs'!K68*(K52+K53)</f>
        <v/>
      </c>
      <c r="L67" s="76">
        <f>'2. Inputs'!L64/'2. Inputs'!L68*L60+'2. Inputs'!L65/'2. Inputs'!L68*(L52+L53)+'2. Inputs'!L67/'2. Inputs'!L68*(L52+L53+L61+L54+L55+L56)-'2. Inputs'!L66/'2. Inputs'!L68*(L52+L53)</f>
        <v/>
      </c>
      <c r="M67" s="76">
        <f>'2. Inputs'!M64/'2. Inputs'!M68*M60+'2. Inputs'!M65/'2. Inputs'!M68*(M52+M53)+'2. Inputs'!M67/'2. Inputs'!M68*(M52+M53+M61+M54+M55+M56)-'2. Inputs'!M66/'2. Inputs'!M68*(M52+M53)</f>
        <v/>
      </c>
      <c r="N67" s="122" t="n"/>
      <c r="O67" s="122" t="n"/>
      <c r="P67" s="122" t="n"/>
      <c r="Q67" s="122" t="n"/>
      <c r="R67" s="122" t="n"/>
      <c r="S67" s="122" t="n"/>
      <c r="T67" s="122" t="n"/>
      <c r="U67" s="122" t="n"/>
      <c r="V67" s="122" t="n"/>
      <c r="W67" s="122" t="n"/>
      <c r="X67" s="122" t="n"/>
    </row>
    <row r="68">
      <c r="A68" s="71" t="inlineStr">
        <is>
          <t>Δ capital de giro (R$)</t>
        </is>
      </c>
      <c r="B68" s="122" t="n"/>
      <c r="C68" s="76">
        <f>C67</f>
        <v/>
      </c>
      <c r="D68" s="76">
        <f>D67-C67</f>
        <v/>
      </c>
      <c r="E68" s="76">
        <f>E67-D67</f>
        <v/>
      </c>
      <c r="F68" s="76">
        <f>F67-E67</f>
        <v/>
      </c>
      <c r="G68" s="76">
        <f>G67-F67</f>
        <v/>
      </c>
      <c r="H68" s="76">
        <f>H67-G67</f>
        <v/>
      </c>
      <c r="I68" s="76">
        <f>I67-H67</f>
        <v/>
      </c>
      <c r="J68" s="76">
        <f>J67-I67</f>
        <v/>
      </c>
      <c r="K68" s="76">
        <f>K67-J67</f>
        <v/>
      </c>
      <c r="L68" s="76">
        <f>L67-K67</f>
        <v/>
      </c>
      <c r="M68" s="76">
        <f>M67-L67</f>
        <v/>
      </c>
      <c r="N68" s="122" t="n"/>
      <c r="O68" s="122" t="n"/>
      <c r="P68" s="122" t="n"/>
      <c r="Q68" s="122" t="n"/>
      <c r="R68" s="122" t="n"/>
      <c r="S68" s="122" t="n"/>
      <c r="T68" s="122" t="n"/>
      <c r="U68" s="122" t="n"/>
      <c r="V68" s="122" t="n"/>
      <c r="W68" s="122" t="n"/>
      <c r="X68" s="122" t="n"/>
    </row>
    <row r="69">
      <c r="A69" s="71" t="inlineStr">
        <is>
          <t>Fluxo de caixa livre (R$)</t>
        </is>
      </c>
      <c r="B69" s="122" t="n"/>
      <c r="C69" s="83">
        <f>-C68-'2. Inputs'!C53</f>
        <v/>
      </c>
      <c r="D69" s="83">
        <f>D66+D57-D68-'2. Inputs'!D53+IF(D$47=10,D67,0)</f>
        <v/>
      </c>
      <c r="E69" s="83">
        <f>E66+E57-E68-'2. Inputs'!E53+IF(E$47=10,E67,0)</f>
        <v/>
      </c>
      <c r="F69" s="83">
        <f>F66+F57-F68-'2. Inputs'!F53+IF(F$47=10,F67,0)</f>
        <v/>
      </c>
      <c r="G69" s="83">
        <f>G66+G57-G68-'2. Inputs'!G53+IF(G$47=10,G67,0)</f>
        <v/>
      </c>
      <c r="H69" s="83">
        <f>H66+H57-H68-'2. Inputs'!H53+IF(H$47=10,H67,0)</f>
        <v/>
      </c>
      <c r="I69" s="83">
        <f>I66+I57-I68-'2. Inputs'!I53+IF(I$47=10,I67,0)</f>
        <v/>
      </c>
      <c r="J69" s="83">
        <f>J66+J57-J68-'2. Inputs'!J53+IF(J$47=10,J67,0)</f>
        <v/>
      </c>
      <c r="K69" s="83">
        <f>K66+K57-K68-'2. Inputs'!K53+IF(K$47=10,K67,0)</f>
        <v/>
      </c>
      <c r="L69" s="83">
        <f>L66+L57-L68-'2. Inputs'!L53+IF(L$47=10,L67,0)</f>
        <v/>
      </c>
      <c r="M69" s="83">
        <f>M66+M57-M68-'2. Inputs'!M53+IF(M$47=10,M67,0)</f>
        <v/>
      </c>
      <c r="N69" s="84">
        <f>C69/(1+'2. Inputs'!$C$81)^C47</f>
        <v/>
      </c>
      <c r="O69" s="84">
        <f>N69+D69/(1+'2. Inputs'!$C$81)^D47</f>
        <v/>
      </c>
      <c r="P69" s="84">
        <f>O69+E69/(1+'2. Inputs'!$C$81)^E47</f>
        <v/>
      </c>
      <c r="Q69" s="84">
        <f>P69+F69/(1+'2. Inputs'!$C$81)^F47</f>
        <v/>
      </c>
      <c r="R69" s="84">
        <f>Q69+G69/(1+'2. Inputs'!$C$81)^G47</f>
        <v/>
      </c>
      <c r="S69" s="84">
        <f>R69+H69/(1+'2. Inputs'!$C$81)^H47</f>
        <v/>
      </c>
      <c r="T69" s="84">
        <f>S69+I69/(1+'2. Inputs'!$C$81)^I47</f>
        <v/>
      </c>
      <c r="U69" s="84">
        <f>T69+J69/(1+'2. Inputs'!$C$81)^J47</f>
        <v/>
      </c>
      <c r="V69" s="84">
        <f>U69+K69/(1+'2. Inputs'!$C$81)^K47</f>
        <v/>
      </c>
      <c r="W69" s="84">
        <f>V69+L69/(1+'2. Inputs'!$C$81)^L47</f>
        <v/>
      </c>
      <c r="X69" s="84">
        <f>W69+M69/(1+'2. Inputs'!$C$81)^M47</f>
        <v/>
      </c>
    </row>
    <row r="70">
      <c r="A70" s="122" t="n"/>
      <c r="B70" s="122" t="n"/>
      <c r="C70" s="122" t="n"/>
      <c r="D70" s="122" t="n"/>
      <c r="E70" s="122" t="n"/>
      <c r="F70" s="122" t="n"/>
      <c r="G70" s="122" t="n"/>
      <c r="H70" s="122" t="n"/>
      <c r="I70" s="122" t="n"/>
      <c r="J70" s="122" t="n"/>
      <c r="K70" s="122" t="n"/>
      <c r="L70" s="122" t="n"/>
      <c r="M70" s="122" t="n"/>
      <c r="N70" s="122" t="n"/>
      <c r="O70" s="122" t="n"/>
      <c r="P70" s="122" t="n"/>
      <c r="Q70" s="122" t="n"/>
      <c r="R70" s="122" t="n"/>
      <c r="S70" s="122" t="n"/>
      <c r="T70" s="122" t="n"/>
      <c r="U70" s="122" t="n"/>
      <c r="V70" s="122" t="n"/>
      <c r="W70" s="122" t="n"/>
      <c r="X70" s="122" t="n"/>
    </row>
    <row r="71">
      <c r="A71" s="15" t="inlineStr">
        <is>
          <t>CORRIDA 3 — Otimista</t>
        </is>
      </c>
      <c r="B71" s="126" t="n"/>
      <c r="C71" s="126" t="n"/>
      <c r="D71" s="126" t="n"/>
      <c r="E71" s="126" t="n"/>
      <c r="F71" s="126" t="n"/>
      <c r="G71" s="126" t="n"/>
      <c r="H71" s="126" t="n"/>
      <c r="I71" s="126" t="n"/>
      <c r="J71" s="126" t="n"/>
      <c r="K71" s="126" t="n"/>
      <c r="L71" s="126" t="n"/>
      <c r="M71" s="126" t="n"/>
      <c r="N71" s="122" t="n"/>
      <c r="O71" s="122" t="n"/>
      <c r="P71" s="122" t="n"/>
      <c r="Q71" s="122" t="n"/>
      <c r="R71" s="122" t="n"/>
      <c r="S71" s="122" t="n"/>
      <c r="T71" s="122" t="n"/>
      <c r="U71" s="122" t="n"/>
      <c r="V71" s="122" t="n"/>
      <c r="W71" s="122" t="n"/>
      <c r="X71" s="122" t="n"/>
    </row>
    <row r="72">
      <c r="A72" s="78" t="inlineStr">
        <is>
          <t>Ano</t>
        </is>
      </c>
      <c r="B72" s="122" t="n"/>
      <c r="C72" s="79" t="n">
        <v>0</v>
      </c>
      <c r="D72" s="79" t="n">
        <v>1</v>
      </c>
      <c r="E72" s="79" t="n">
        <v>2</v>
      </c>
      <c r="F72" s="79" t="n">
        <v>3</v>
      </c>
      <c r="G72" s="79" t="n">
        <v>4</v>
      </c>
      <c r="H72" s="79" t="n">
        <v>5</v>
      </c>
      <c r="I72" s="79" t="n">
        <v>6</v>
      </c>
      <c r="J72" s="79" t="n">
        <v>7</v>
      </c>
      <c r="K72" s="79" t="n">
        <v>8</v>
      </c>
      <c r="L72" s="79" t="n">
        <v>9</v>
      </c>
      <c r="M72" s="79" t="n">
        <v>10</v>
      </c>
      <c r="N72" s="122" t="n"/>
      <c r="O72" s="122" t="n"/>
      <c r="P72" s="122" t="n"/>
      <c r="Q72" s="122" t="n"/>
      <c r="R72" s="122" t="n"/>
      <c r="S72" s="122" t="n"/>
      <c r="T72" s="122" t="n"/>
      <c r="U72" s="122" t="n"/>
      <c r="V72" s="122" t="n"/>
      <c r="W72" s="122" t="n"/>
      <c r="X72" s="122" t="n"/>
    </row>
    <row r="73">
      <c r="A73" s="71" t="inlineStr">
        <is>
          <t>Volume (un)</t>
        </is>
      </c>
      <c r="B73" s="122" t="n"/>
      <c r="C73" s="76" t="n"/>
      <c r="D73" s="76">
        <f>'2. Inputs'!D11*(1+$C$9)</f>
        <v/>
      </c>
      <c r="E73" s="76">
        <f>'2. Inputs'!E11*(1+$C$9)</f>
        <v/>
      </c>
      <c r="F73" s="76">
        <f>'2. Inputs'!F11*(1+$C$9)</f>
        <v/>
      </c>
      <c r="G73" s="76">
        <f>'2. Inputs'!G11*(1+$C$9)</f>
        <v/>
      </c>
      <c r="H73" s="76">
        <f>'2. Inputs'!H11*(1+$C$9)</f>
        <v/>
      </c>
      <c r="I73" s="76">
        <f>'2. Inputs'!I11*(1+$C$9)</f>
        <v/>
      </c>
      <c r="J73" s="76">
        <f>'2. Inputs'!J11*(1+$C$9)</f>
        <v/>
      </c>
      <c r="K73" s="76">
        <f>'2. Inputs'!K11*(1+$C$9)</f>
        <v/>
      </c>
      <c r="L73" s="76">
        <f>'2. Inputs'!L11*(1+$C$9)</f>
        <v/>
      </c>
      <c r="M73" s="76">
        <f>'2. Inputs'!M11*(1+$C$9)</f>
        <v/>
      </c>
      <c r="N73" s="122" t="n"/>
      <c r="O73" s="122" t="n"/>
      <c r="P73" s="122" t="n"/>
      <c r="Q73" s="122" t="n"/>
      <c r="R73" s="122" t="n"/>
      <c r="S73" s="122" t="n"/>
      <c r="T73" s="122" t="n"/>
      <c r="U73" s="122" t="n"/>
      <c r="V73" s="122" t="n"/>
      <c r="W73" s="122" t="n"/>
      <c r="X73" s="122" t="n"/>
    </row>
    <row r="74">
      <c r="A74" s="71" t="inlineStr">
        <is>
          <t>Frete unitário (R$/un)</t>
        </is>
      </c>
      <c r="B74" s="80">
        <f>('2. Inputs'!D25*'2. Inputs'!$C$96+'2. Inputs'!D26*'2. Inputs'!$C$97+'2. Inputs'!D27*'2. Inputs'!$C$98+'2. Inputs'!D28*'2. Inputs'!$C$99)/'2. Inputs'!$C$100</f>
        <v/>
      </c>
      <c r="C74" s="81" t="n"/>
      <c r="D74" s="81">
        <f>$G$9*'2. Inputs'!D24+(1-$G$9)*$B$74</f>
        <v/>
      </c>
      <c r="E74" s="81">
        <f>$G$9*'2. Inputs'!E24+(1-$G$9)*$B$74</f>
        <v/>
      </c>
      <c r="F74" s="81">
        <f>$G$9*'2. Inputs'!F24+(1-$G$9)*$B$74</f>
        <v/>
      </c>
      <c r="G74" s="81">
        <f>$G$9*'2. Inputs'!G24+(1-$G$9)*$B$74</f>
        <v/>
      </c>
      <c r="H74" s="81">
        <f>$G$9*'2. Inputs'!H24+(1-$G$9)*$B$74</f>
        <v/>
      </c>
      <c r="I74" s="81">
        <f>$G$9*'2. Inputs'!I24+(1-$G$9)*$B$74</f>
        <v/>
      </c>
      <c r="J74" s="81">
        <f>$G$9*'2. Inputs'!J24+(1-$G$9)*$B$74</f>
        <v/>
      </c>
      <c r="K74" s="81">
        <f>$G$9*'2. Inputs'!K24+(1-$G$9)*$B$74</f>
        <v/>
      </c>
      <c r="L74" s="81">
        <f>$G$9*'2. Inputs'!L24+(1-$G$9)*$B$74</f>
        <v/>
      </c>
      <c r="M74" s="81">
        <f>$G$9*'2. Inputs'!M24+(1-$G$9)*$B$74</f>
        <v/>
      </c>
      <c r="N74" s="122" t="n"/>
      <c r="O74" s="2" t="inlineStr">
        <is>
          <t>Coluna B: frete unitário médio fora do Sudeste, nas proporções da origem (Sul 5%, NE 3%, N 2%, CO 10%).</t>
        </is>
      </c>
      <c r="P74" s="122" t="n"/>
      <c r="Q74" s="122" t="n"/>
      <c r="R74" s="122" t="n"/>
      <c r="S74" s="122" t="n"/>
      <c r="T74" s="122" t="n"/>
      <c r="U74" s="122" t="n"/>
      <c r="V74" s="122" t="n"/>
      <c r="W74" s="122" t="n"/>
      <c r="X74" s="122" t="n"/>
    </row>
    <row r="75">
      <c r="A75" s="71" t="inlineStr">
        <is>
          <t>Custo variável unitário (R$/un)</t>
        </is>
      </c>
      <c r="B75" s="122" t="n"/>
      <c r="C75" s="82" t="n"/>
      <c r="D75" s="82">
        <f>'2. Inputs'!D43*(1+$E$9)</f>
        <v/>
      </c>
      <c r="E75" s="82">
        <f>'2. Inputs'!E43*(1+$E$9)</f>
        <v/>
      </c>
      <c r="F75" s="82">
        <f>'2. Inputs'!F43*(1+$E$9)</f>
        <v/>
      </c>
      <c r="G75" s="82">
        <f>'2. Inputs'!G43*(1+$E$9)</f>
        <v/>
      </c>
      <c r="H75" s="82">
        <f>'2. Inputs'!H43*(1+$E$9)</f>
        <v/>
      </c>
      <c r="I75" s="82">
        <f>'2. Inputs'!I43*(1+$E$9)</f>
        <v/>
      </c>
      <c r="J75" s="82">
        <f>'2. Inputs'!J43*(1+$E$9)</f>
        <v/>
      </c>
      <c r="K75" s="82">
        <f>'2. Inputs'!K43*(1+$E$9)</f>
        <v/>
      </c>
      <c r="L75" s="82">
        <f>'2. Inputs'!L43*(1+$E$9)</f>
        <v/>
      </c>
      <c r="M75" s="82">
        <f>'2. Inputs'!M43*(1+$E$9)</f>
        <v/>
      </c>
      <c r="N75" s="122" t="n"/>
      <c r="O75" s="122" t="n"/>
      <c r="P75" s="122" t="n"/>
      <c r="Q75" s="122" t="n"/>
      <c r="R75" s="122" t="n"/>
      <c r="S75" s="122" t="n"/>
      <c r="T75" s="122" t="n"/>
      <c r="U75" s="122" t="n"/>
      <c r="V75" s="122" t="n"/>
      <c r="W75" s="122" t="n"/>
      <c r="X75" s="122" t="n"/>
    </row>
    <row r="76">
      <c r="A76" s="71" t="inlineStr">
        <is>
          <t>Markup total (%)</t>
        </is>
      </c>
      <c r="B76" s="122" t="n"/>
      <c r="C76" s="72" t="n"/>
      <c r="D76" s="72">
        <f>'2. Inputs'!D32+'2. Inputs'!D33+'2. Inputs'!D34+'2. Inputs'!D35+'2. Inputs'!D36+$D$9</f>
        <v/>
      </c>
      <c r="E76" s="72">
        <f>'2. Inputs'!E32+'2. Inputs'!E33+'2. Inputs'!E34+'2. Inputs'!E35+'2. Inputs'!E36+$D$9</f>
        <v/>
      </c>
      <c r="F76" s="72">
        <f>'2. Inputs'!F32+'2. Inputs'!F33+'2. Inputs'!F34+'2. Inputs'!F35+'2. Inputs'!F36+$D$9</f>
        <v/>
      </c>
      <c r="G76" s="72">
        <f>'2. Inputs'!G32+'2. Inputs'!G33+'2. Inputs'!G34+'2. Inputs'!G35+'2. Inputs'!G36+$D$9</f>
        <v/>
      </c>
      <c r="H76" s="72">
        <f>'2. Inputs'!H32+'2. Inputs'!H33+'2. Inputs'!H34+'2. Inputs'!H35+'2. Inputs'!H36+$D$9</f>
        <v/>
      </c>
      <c r="I76" s="72">
        <f>'2. Inputs'!I32+'2. Inputs'!I33+'2. Inputs'!I34+'2. Inputs'!I35+'2. Inputs'!I36+$D$9</f>
        <v/>
      </c>
      <c r="J76" s="72">
        <f>'2. Inputs'!J32+'2. Inputs'!J33+'2. Inputs'!J34+'2. Inputs'!J35+'2. Inputs'!J36+$D$9</f>
        <v/>
      </c>
      <c r="K76" s="72">
        <f>'2. Inputs'!K32+'2. Inputs'!K33+'2. Inputs'!K34+'2. Inputs'!K35+'2. Inputs'!K36+$D$9</f>
        <v/>
      </c>
      <c r="L76" s="72">
        <f>'2. Inputs'!L32+'2. Inputs'!L33+'2. Inputs'!L34+'2. Inputs'!L35+'2. Inputs'!L36+$D$9</f>
        <v/>
      </c>
      <c r="M76" s="72">
        <f>'2. Inputs'!M32+'2. Inputs'!M33+'2. Inputs'!M34+'2. Inputs'!M35+'2. Inputs'!M36+$D$9</f>
        <v/>
      </c>
      <c r="N76" s="122" t="n"/>
      <c r="O76" s="122" t="n"/>
      <c r="P76" s="122" t="n"/>
      <c r="Q76" s="122" t="n"/>
      <c r="R76" s="122" t="n"/>
      <c r="S76" s="122" t="n"/>
      <c r="T76" s="122" t="n"/>
      <c r="U76" s="122" t="n"/>
      <c r="V76" s="122" t="n"/>
      <c r="W76" s="122" t="n"/>
      <c r="X76" s="122" t="n"/>
    </row>
    <row r="77">
      <c r="A77" s="71" t="inlineStr">
        <is>
          <t>Custo variável (R$)</t>
        </is>
      </c>
      <c r="B77" s="122" t="n"/>
      <c r="C77" s="76" t="n"/>
      <c r="D77" s="76">
        <f>D73*D75</f>
        <v/>
      </c>
      <c r="E77" s="76">
        <f>E73*E75</f>
        <v/>
      </c>
      <c r="F77" s="76">
        <f>F73*F75</f>
        <v/>
      </c>
      <c r="G77" s="76">
        <f>G73*G75</f>
        <v/>
      </c>
      <c r="H77" s="76">
        <f>H73*H75</f>
        <v/>
      </c>
      <c r="I77" s="76">
        <f>I73*I75</f>
        <v/>
      </c>
      <c r="J77" s="76">
        <f>J73*J75</f>
        <v/>
      </c>
      <c r="K77" s="76">
        <f>K73*K75</f>
        <v/>
      </c>
      <c r="L77" s="76">
        <f>L73*L75</f>
        <v/>
      </c>
      <c r="M77" s="76">
        <f>M73*M75</f>
        <v/>
      </c>
      <c r="N77" s="122" t="n"/>
      <c r="O77" s="122" t="n"/>
      <c r="P77" s="122" t="n"/>
      <c r="Q77" s="122" t="n"/>
      <c r="R77" s="122" t="n"/>
      <c r="S77" s="122" t="n"/>
      <c r="T77" s="122" t="n"/>
      <c r="U77" s="122" t="n"/>
      <c r="V77" s="122" t="n"/>
      <c r="W77" s="122" t="n"/>
      <c r="X77" s="122" t="n"/>
    </row>
    <row r="78">
      <c r="A78" s="71" t="inlineStr">
        <is>
          <t>Frete (R$)</t>
        </is>
      </c>
      <c r="B78" s="122" t="n"/>
      <c r="C78" s="76" t="n"/>
      <c r="D78" s="76">
        <f>D73*D74</f>
        <v/>
      </c>
      <c r="E78" s="76">
        <f>E73*E74</f>
        <v/>
      </c>
      <c r="F78" s="76">
        <f>F73*F74</f>
        <v/>
      </c>
      <c r="G78" s="76">
        <f>G73*G74</f>
        <v/>
      </c>
      <c r="H78" s="76">
        <f>H73*H74</f>
        <v/>
      </c>
      <c r="I78" s="76">
        <f>I73*I74</f>
        <v/>
      </c>
      <c r="J78" s="76">
        <f>J73*J74</f>
        <v/>
      </c>
      <c r="K78" s="76">
        <f>K73*K74</f>
        <v/>
      </c>
      <c r="L78" s="76">
        <f>L73*L74</f>
        <v/>
      </c>
      <c r="M78" s="76">
        <f>M73*M74</f>
        <v/>
      </c>
      <c r="N78" s="122" t="n"/>
      <c r="O78" s="122" t="n"/>
      <c r="P78" s="122" t="n"/>
      <c r="Q78" s="122" t="n"/>
      <c r="R78" s="122" t="n"/>
      <c r="S78" s="122" t="n"/>
      <c r="T78" s="122" t="n"/>
      <c r="U78" s="122" t="n"/>
      <c r="V78" s="122" t="n"/>
      <c r="W78" s="122" t="n"/>
      <c r="X78" s="122" t="n"/>
    </row>
    <row r="79">
      <c r="A79" s="71" t="inlineStr">
        <is>
          <t>Custo fixo de estrutura (R$)</t>
        </is>
      </c>
      <c r="B79" s="122" t="n"/>
      <c r="C79" s="76" t="n"/>
      <c r="D79" s="76">
        <f>'2. Inputs'!D46</f>
        <v/>
      </c>
      <c r="E79" s="76">
        <f>'2. Inputs'!E46</f>
        <v/>
      </c>
      <c r="F79" s="76">
        <f>'2. Inputs'!F46</f>
        <v/>
      </c>
      <c r="G79" s="76">
        <f>'2. Inputs'!G46</f>
        <v/>
      </c>
      <c r="H79" s="76">
        <f>'2. Inputs'!H46</f>
        <v/>
      </c>
      <c r="I79" s="76">
        <f>'2. Inputs'!I46</f>
        <v/>
      </c>
      <c r="J79" s="76">
        <f>'2. Inputs'!J46</f>
        <v/>
      </c>
      <c r="K79" s="76">
        <f>'2. Inputs'!K46</f>
        <v/>
      </c>
      <c r="L79" s="76">
        <f>'2. Inputs'!L46</f>
        <v/>
      </c>
      <c r="M79" s="76">
        <f>'2. Inputs'!M46</f>
        <v/>
      </c>
      <c r="N79" s="122" t="n"/>
      <c r="O79" s="122" t="n"/>
      <c r="P79" s="122" t="n"/>
      <c r="Q79" s="122" t="n"/>
      <c r="R79" s="122" t="n"/>
      <c r="S79" s="122" t="n"/>
      <c r="T79" s="122" t="n"/>
      <c r="U79" s="122" t="n"/>
      <c r="V79" s="122" t="n"/>
      <c r="W79" s="122" t="n"/>
      <c r="X79" s="122" t="n"/>
    </row>
    <row r="80">
      <c r="A80" s="71" t="inlineStr">
        <is>
          <t>Manutenção e seguro (R$)</t>
        </is>
      </c>
      <c r="B80" s="122" t="n"/>
      <c r="C80" s="76" t="n"/>
      <c r="D80" s="76">
        <f>('2. Inputs'!D47+'2. Inputs'!D48)*'2. Inputs'!D54</f>
        <v/>
      </c>
      <c r="E80" s="76">
        <f>('2. Inputs'!E47+'2. Inputs'!E48)*'2. Inputs'!E54</f>
        <v/>
      </c>
      <c r="F80" s="76">
        <f>('2. Inputs'!F47+'2. Inputs'!F48)*'2. Inputs'!F54</f>
        <v/>
      </c>
      <c r="G80" s="76">
        <f>('2. Inputs'!G47+'2. Inputs'!G48)*'2. Inputs'!G54</f>
        <v/>
      </c>
      <c r="H80" s="76">
        <f>('2. Inputs'!H47+'2. Inputs'!H48)*'2. Inputs'!H54</f>
        <v/>
      </c>
      <c r="I80" s="76">
        <f>('2. Inputs'!I47+'2. Inputs'!I48)*'2. Inputs'!I54</f>
        <v/>
      </c>
      <c r="J80" s="76">
        <f>('2. Inputs'!J47+'2. Inputs'!J48)*'2. Inputs'!J54</f>
        <v/>
      </c>
      <c r="K80" s="76">
        <f>('2. Inputs'!K47+'2. Inputs'!K48)*'2. Inputs'!K54</f>
        <v/>
      </c>
      <c r="L80" s="76">
        <f>('2. Inputs'!L47+'2. Inputs'!L48)*'2. Inputs'!L54</f>
        <v/>
      </c>
      <c r="M80" s="76">
        <f>('2. Inputs'!M47+'2. Inputs'!M48)*'2. Inputs'!M54</f>
        <v/>
      </c>
      <c r="N80" s="122" t="n"/>
      <c r="O80" s="122" t="n"/>
      <c r="P80" s="122" t="n"/>
      <c r="Q80" s="122" t="n"/>
      <c r="R80" s="122" t="n"/>
      <c r="S80" s="122" t="n"/>
      <c r="T80" s="122" t="n"/>
      <c r="U80" s="122" t="n"/>
      <c r="V80" s="122" t="n"/>
      <c r="W80" s="122" t="n"/>
      <c r="X80" s="122" t="n"/>
    </row>
    <row r="81">
      <c r="A81" s="71" t="inlineStr">
        <is>
          <t>Contingência (R$)</t>
        </is>
      </c>
      <c r="B81" s="122" t="n"/>
      <c r="C81" s="76" t="n"/>
      <c r="D81" s="76">
        <f>$F$9*'2. Inputs'!D54</f>
        <v/>
      </c>
      <c r="E81" s="76">
        <f>$F$9*'2. Inputs'!E54</f>
        <v/>
      </c>
      <c r="F81" s="76">
        <f>$F$9*'2. Inputs'!F54</f>
        <v/>
      </c>
      <c r="G81" s="76">
        <f>$F$9*'2. Inputs'!G54</f>
        <v/>
      </c>
      <c r="H81" s="76">
        <f>$F$9*'2. Inputs'!H54</f>
        <v/>
      </c>
      <c r="I81" s="76">
        <f>$F$9*'2. Inputs'!I54</f>
        <v/>
      </c>
      <c r="J81" s="76">
        <f>$F$9*'2. Inputs'!J54</f>
        <v/>
      </c>
      <c r="K81" s="76">
        <f>$F$9*'2. Inputs'!K54</f>
        <v/>
      </c>
      <c r="L81" s="76">
        <f>$F$9*'2. Inputs'!L54</f>
        <v/>
      </c>
      <c r="M81" s="76">
        <f>$F$9*'2. Inputs'!M54</f>
        <v/>
      </c>
      <c r="N81" s="122" t="n"/>
      <c r="O81" s="122" t="n"/>
      <c r="P81" s="122" t="n"/>
      <c r="Q81" s="122" t="n"/>
      <c r="R81" s="122" t="n"/>
      <c r="S81" s="122" t="n"/>
      <c r="T81" s="122" t="n"/>
      <c r="U81" s="122" t="n"/>
      <c r="V81" s="122" t="n"/>
      <c r="W81" s="122" t="n"/>
      <c r="X81" s="122" t="n"/>
    </row>
    <row r="82">
      <c r="A82" s="71" t="inlineStr">
        <is>
          <t>Depreciação (R$)</t>
        </is>
      </c>
      <c r="B82" s="122" t="n"/>
      <c r="C82" s="76" t="n"/>
      <c r="D82" s="76">
        <f>'3. Depreciacao'!D31</f>
        <v/>
      </c>
      <c r="E82" s="76">
        <f>'3. Depreciacao'!E31</f>
        <v/>
      </c>
      <c r="F82" s="76">
        <f>'3. Depreciacao'!F31</f>
        <v/>
      </c>
      <c r="G82" s="76">
        <f>'3. Depreciacao'!G31</f>
        <v/>
      </c>
      <c r="H82" s="76">
        <f>'3. Depreciacao'!H31</f>
        <v/>
      </c>
      <c r="I82" s="76">
        <f>'3. Depreciacao'!I31</f>
        <v/>
      </c>
      <c r="J82" s="76">
        <f>'3. Depreciacao'!J31</f>
        <v/>
      </c>
      <c r="K82" s="76">
        <f>'3. Depreciacao'!K31</f>
        <v/>
      </c>
      <c r="L82" s="76">
        <f>'3. Depreciacao'!L31</f>
        <v/>
      </c>
      <c r="M82" s="76">
        <f>'3. Depreciacao'!M31</f>
        <v/>
      </c>
      <c r="N82" s="122" t="n"/>
      <c r="O82" s="122" t="n"/>
      <c r="P82" s="122" t="n"/>
      <c r="Q82" s="122" t="n"/>
      <c r="R82" s="122" t="n"/>
      <c r="S82" s="122" t="n"/>
      <c r="T82" s="122" t="n"/>
      <c r="U82" s="122" t="n"/>
      <c r="V82" s="122" t="n"/>
      <c r="W82" s="122" t="n"/>
      <c r="X82" s="122" t="n"/>
    </row>
    <row r="83">
      <c r="A83" s="71" t="inlineStr">
        <is>
          <t>Custo total (R$)</t>
        </is>
      </c>
      <c r="B83" s="122" t="n"/>
      <c r="C83" s="76" t="n"/>
      <c r="D83" s="76">
        <f>SUM(D77:D82)</f>
        <v/>
      </c>
      <c r="E83" s="76">
        <f>SUM(E77:E82)</f>
        <v/>
      </c>
      <c r="F83" s="76">
        <f>SUM(F77:F82)</f>
        <v/>
      </c>
      <c r="G83" s="76">
        <f>SUM(G77:G82)</f>
        <v/>
      </c>
      <c r="H83" s="76">
        <f>SUM(H77:H82)</f>
        <v/>
      </c>
      <c r="I83" s="76">
        <f>SUM(I77:I82)</f>
        <v/>
      </c>
      <c r="J83" s="76">
        <f>SUM(J77:J82)</f>
        <v/>
      </c>
      <c r="K83" s="76">
        <f>SUM(K77:K82)</f>
        <v/>
      </c>
      <c r="L83" s="76">
        <f>SUM(L77:L82)</f>
        <v/>
      </c>
      <c r="M83" s="76">
        <f>SUM(M77:M82)</f>
        <v/>
      </c>
      <c r="N83" s="122" t="n"/>
      <c r="O83" s="122" t="n"/>
      <c r="P83" s="122" t="n"/>
      <c r="Q83" s="122" t="n"/>
      <c r="R83" s="122" t="n"/>
      <c r="S83" s="122" t="n"/>
      <c r="T83" s="122" t="n"/>
      <c r="U83" s="122" t="n"/>
      <c r="V83" s="122" t="n"/>
      <c r="W83" s="122" t="n"/>
      <c r="X83" s="122" t="n"/>
    </row>
    <row r="84">
      <c r="A84" s="71" t="inlineStr">
        <is>
          <t>Preço bruto unitário (R$/un)</t>
        </is>
      </c>
      <c r="B84" s="122" t="n"/>
      <c r="C84" s="82" t="n"/>
      <c r="D84" s="82">
        <f>IF('2. Inputs'!$C$38=1,D83/D73/(1-D76),'2. Inputs'!D39)</f>
        <v/>
      </c>
      <c r="E84" s="82">
        <f>IF('2. Inputs'!$C$38=1,E83/E73/(1-E76),'2. Inputs'!E39)</f>
        <v/>
      </c>
      <c r="F84" s="82">
        <f>IF('2. Inputs'!$C$38=1,F83/F73/(1-F76),'2. Inputs'!F39)</f>
        <v/>
      </c>
      <c r="G84" s="82">
        <f>IF('2. Inputs'!$C$38=1,G83/G73/(1-G76),'2. Inputs'!G39)</f>
        <v/>
      </c>
      <c r="H84" s="82">
        <f>IF('2. Inputs'!$C$38=1,H83/H73/(1-H76),'2. Inputs'!H39)</f>
        <v/>
      </c>
      <c r="I84" s="82">
        <f>IF('2. Inputs'!$C$38=1,I83/I73/(1-I76),'2. Inputs'!I39)</f>
        <v/>
      </c>
      <c r="J84" s="82">
        <f>IF('2. Inputs'!$C$38=1,J83/J73/(1-J76),'2. Inputs'!J39)</f>
        <v/>
      </c>
      <c r="K84" s="82">
        <f>IF('2. Inputs'!$C$38=1,K83/K73/(1-K76),'2. Inputs'!K39)</f>
        <v/>
      </c>
      <c r="L84" s="82">
        <f>IF('2. Inputs'!$C$38=1,L83/L73/(1-L76),'2. Inputs'!L39)</f>
        <v/>
      </c>
      <c r="M84" s="82">
        <f>IF('2. Inputs'!$C$38=1,M83/M73/(1-M76),'2. Inputs'!M39)</f>
        <v/>
      </c>
      <c r="N84" s="122" t="n"/>
      <c r="O84" s="122" t="n"/>
      <c r="P84" s="122" t="n"/>
      <c r="Q84" s="122" t="n"/>
      <c r="R84" s="122" t="n"/>
      <c r="S84" s="122" t="n"/>
      <c r="T84" s="122" t="n"/>
      <c r="U84" s="122" t="n"/>
      <c r="V84" s="122" t="n"/>
      <c r="W84" s="122" t="n"/>
      <c r="X84" s="122" t="n"/>
    </row>
    <row r="85">
      <c r="A85" s="71" t="inlineStr">
        <is>
          <t>Receita bruta (R$)</t>
        </is>
      </c>
      <c r="B85" s="122" t="n"/>
      <c r="C85" s="76" t="n"/>
      <c r="D85" s="76">
        <f>D73*D84</f>
        <v/>
      </c>
      <c r="E85" s="76">
        <f>E73*E84</f>
        <v/>
      </c>
      <c r="F85" s="76">
        <f>F73*F84</f>
        <v/>
      </c>
      <c r="G85" s="76">
        <f>G73*G84</f>
        <v/>
      </c>
      <c r="H85" s="76">
        <f>H73*H84</f>
        <v/>
      </c>
      <c r="I85" s="76">
        <f>I73*I84</f>
        <v/>
      </c>
      <c r="J85" s="76">
        <f>J73*J84</f>
        <v/>
      </c>
      <c r="K85" s="76">
        <f>K73*K84</f>
        <v/>
      </c>
      <c r="L85" s="76">
        <f>L73*L84</f>
        <v/>
      </c>
      <c r="M85" s="76">
        <f>M73*M84</f>
        <v/>
      </c>
      <c r="N85" s="122" t="n"/>
      <c r="O85" s="122" t="n"/>
      <c r="P85" s="122" t="n"/>
      <c r="Q85" s="122" t="n"/>
      <c r="R85" s="122" t="n"/>
      <c r="S85" s="122" t="n"/>
      <c r="T85" s="122" t="n"/>
      <c r="U85" s="122" t="n"/>
      <c r="V85" s="122" t="n"/>
      <c r="W85" s="122" t="n"/>
      <c r="X85" s="122" t="n"/>
    </row>
    <row r="86">
      <c r="A86" s="71" t="inlineStr">
        <is>
          <t>Comissão (R$)</t>
        </is>
      </c>
      <c r="B86" s="122" t="n"/>
      <c r="C86" s="76" t="n"/>
      <c r="D86" s="76">
        <f>'2. Inputs'!D35*D85</f>
        <v/>
      </c>
      <c r="E86" s="76">
        <f>'2. Inputs'!E35*E85</f>
        <v/>
      </c>
      <c r="F86" s="76">
        <f>'2. Inputs'!F35*F85</f>
        <v/>
      </c>
      <c r="G86" s="76">
        <f>'2. Inputs'!G35*G85</f>
        <v/>
      </c>
      <c r="H86" s="76">
        <f>'2. Inputs'!H35*H85</f>
        <v/>
      </c>
      <c r="I86" s="76">
        <f>'2. Inputs'!I35*I85</f>
        <v/>
      </c>
      <c r="J86" s="76">
        <f>'2. Inputs'!J35*J85</f>
        <v/>
      </c>
      <c r="K86" s="76">
        <f>'2. Inputs'!K35*K85</f>
        <v/>
      </c>
      <c r="L86" s="76">
        <f>'2. Inputs'!L35*L85</f>
        <v/>
      </c>
      <c r="M86" s="76">
        <f>'2. Inputs'!M35*M85</f>
        <v/>
      </c>
      <c r="N86" s="122" t="n"/>
      <c r="O86" s="122" t="n"/>
      <c r="P86" s="122" t="n"/>
      <c r="Q86" s="122" t="n"/>
      <c r="R86" s="122" t="n"/>
      <c r="S86" s="122" t="n"/>
      <c r="T86" s="122" t="n"/>
      <c r="U86" s="122" t="n"/>
      <c r="V86" s="122" t="n"/>
      <c r="W86" s="122" t="n"/>
      <c r="X86" s="122" t="n"/>
    </row>
    <row r="87">
      <c r="A87" s="71" t="inlineStr">
        <is>
          <t>Receita líquida (R$)</t>
        </is>
      </c>
      <c r="B87" s="122" t="n"/>
      <c r="C87" s="76" t="n"/>
      <c r="D87" s="76">
        <f>D85*(1-'2. Inputs'!D32-'2. Inputs'!D33-'2. Inputs'!D34)</f>
        <v/>
      </c>
      <c r="E87" s="76">
        <f>E85*(1-'2. Inputs'!E32-'2. Inputs'!E33-'2. Inputs'!E34)</f>
        <v/>
      </c>
      <c r="F87" s="76">
        <f>F85*(1-'2. Inputs'!F32-'2. Inputs'!F33-'2. Inputs'!F34)</f>
        <v/>
      </c>
      <c r="G87" s="76">
        <f>G85*(1-'2. Inputs'!G32-'2. Inputs'!G33-'2. Inputs'!G34)</f>
        <v/>
      </c>
      <c r="H87" s="76">
        <f>H85*(1-'2. Inputs'!H32-'2. Inputs'!H33-'2. Inputs'!H34)</f>
        <v/>
      </c>
      <c r="I87" s="76">
        <f>I85*(1-'2. Inputs'!I32-'2. Inputs'!I33-'2. Inputs'!I34)</f>
        <v/>
      </c>
      <c r="J87" s="76">
        <f>J85*(1-'2. Inputs'!J32-'2. Inputs'!J33-'2. Inputs'!J34)</f>
        <v/>
      </c>
      <c r="K87" s="76">
        <f>K85*(1-'2. Inputs'!K32-'2. Inputs'!K33-'2. Inputs'!K34)</f>
        <v/>
      </c>
      <c r="L87" s="76">
        <f>L85*(1-'2. Inputs'!L32-'2. Inputs'!L33-'2. Inputs'!L34)</f>
        <v/>
      </c>
      <c r="M87" s="76">
        <f>M85*(1-'2. Inputs'!M32-'2. Inputs'!M33-'2. Inputs'!M34)</f>
        <v/>
      </c>
      <c r="N87" s="122" t="n"/>
      <c r="O87" s="122" t="n"/>
      <c r="P87" s="122" t="n"/>
      <c r="Q87" s="122" t="n"/>
      <c r="R87" s="122" t="n"/>
      <c r="S87" s="122" t="n"/>
      <c r="T87" s="122" t="n"/>
      <c r="U87" s="122" t="n"/>
      <c r="V87" s="122" t="n"/>
      <c r="W87" s="122" t="n"/>
      <c r="X87" s="122" t="n"/>
    </row>
    <row r="88">
      <c r="A88" s="71" t="inlineStr">
        <is>
          <t>EBITDA (R$)</t>
        </is>
      </c>
      <c r="B88" s="122" t="n"/>
      <c r="C88" s="76" t="n"/>
      <c r="D88" s="76">
        <f>D87-D77-D78-D86-D79-D80-D81</f>
        <v/>
      </c>
      <c r="E88" s="76">
        <f>E87-E77-E78-E86-E79-E80-E81</f>
        <v/>
      </c>
      <c r="F88" s="76">
        <f>F87-F77-F78-F86-F79-F80-F81</f>
        <v/>
      </c>
      <c r="G88" s="76">
        <f>G87-G77-G78-G86-G79-G80-G81</f>
        <v/>
      </c>
      <c r="H88" s="76">
        <f>H87-H77-H78-H86-H79-H80-H81</f>
        <v/>
      </c>
      <c r="I88" s="76">
        <f>I87-I77-I78-I86-I79-I80-I81</f>
        <v/>
      </c>
      <c r="J88" s="76">
        <f>J87-J77-J78-J86-J79-J80-J81</f>
        <v/>
      </c>
      <c r="K88" s="76">
        <f>K87-K77-K78-K86-K79-K80-K81</f>
        <v/>
      </c>
      <c r="L88" s="76">
        <f>L87-L77-L78-L86-L79-L80-L81</f>
        <v/>
      </c>
      <c r="M88" s="76">
        <f>M87-M77-M78-M86-M79-M80-M81</f>
        <v/>
      </c>
      <c r="N88" s="122" t="n"/>
      <c r="O88" s="122" t="n"/>
      <c r="P88" s="122" t="n"/>
      <c r="Q88" s="122" t="n"/>
      <c r="R88" s="122" t="n"/>
      <c r="S88" s="122" t="n"/>
      <c r="T88" s="122" t="n"/>
      <c r="U88" s="122" t="n"/>
      <c r="V88" s="122" t="n"/>
      <c r="W88" s="122" t="n"/>
      <c r="X88" s="122" t="n"/>
    </row>
    <row r="89">
      <c r="A89" s="71" t="inlineStr">
        <is>
          <t>EBIT (R$)</t>
        </is>
      </c>
      <c r="B89" s="122" t="n"/>
      <c r="C89" s="76" t="n"/>
      <c r="D89" s="76">
        <f>D88-D82</f>
        <v/>
      </c>
      <c r="E89" s="76">
        <f>E88-E82</f>
        <v/>
      </c>
      <c r="F89" s="76">
        <f>F88-F82</f>
        <v/>
      </c>
      <c r="G89" s="76">
        <f>G88-G82</f>
        <v/>
      </c>
      <c r="H89" s="76">
        <f>H88-H82</f>
        <v/>
      </c>
      <c r="I89" s="76">
        <f>I88-I82</f>
        <v/>
      </c>
      <c r="J89" s="76">
        <f>J88-J82</f>
        <v/>
      </c>
      <c r="K89" s="76">
        <f>K88-K82</f>
        <v/>
      </c>
      <c r="L89" s="76">
        <f>L88-L82</f>
        <v/>
      </c>
      <c r="M89" s="76">
        <f>M88-M82</f>
        <v/>
      </c>
      <c r="N89" s="122" t="n"/>
      <c r="O89" s="122" t="n"/>
      <c r="P89" s="122" t="n"/>
      <c r="Q89" s="122" t="n"/>
      <c r="R89" s="122" t="n"/>
      <c r="S89" s="122" t="n"/>
      <c r="T89" s="122" t="n"/>
      <c r="U89" s="122" t="n"/>
      <c r="V89" s="122" t="n"/>
      <c r="W89" s="122" t="n"/>
      <c r="X89" s="122" t="n"/>
    </row>
    <row r="90">
      <c r="A90" s="71" t="inlineStr">
        <is>
          <t>IRPJ + adicional + CSLL (R$)</t>
        </is>
      </c>
      <c r="B90" s="122" t="n"/>
      <c r="C90" s="76" t="n"/>
      <c r="D90" s="76">
        <f>IF(D89&gt;0,'2. Inputs'!D58*D89+'2. Inputs'!D59*MAX(0,D89-'2. Inputs'!D60)+'2. Inputs'!D61*D89,0)</f>
        <v/>
      </c>
      <c r="E90" s="76">
        <f>IF(E89&gt;0,'2. Inputs'!E58*E89+'2. Inputs'!E59*MAX(0,E89-'2. Inputs'!E60)+'2. Inputs'!E61*E89,0)</f>
        <v/>
      </c>
      <c r="F90" s="76">
        <f>IF(F89&gt;0,'2. Inputs'!F58*F89+'2. Inputs'!F59*MAX(0,F89-'2. Inputs'!F60)+'2. Inputs'!F61*F89,0)</f>
        <v/>
      </c>
      <c r="G90" s="76">
        <f>IF(G89&gt;0,'2. Inputs'!G58*G89+'2. Inputs'!G59*MAX(0,G89-'2. Inputs'!G60)+'2. Inputs'!G61*G89,0)</f>
        <v/>
      </c>
      <c r="H90" s="76">
        <f>IF(H89&gt;0,'2. Inputs'!H58*H89+'2. Inputs'!H59*MAX(0,H89-'2. Inputs'!H60)+'2. Inputs'!H61*H89,0)</f>
        <v/>
      </c>
      <c r="I90" s="76">
        <f>IF(I89&gt;0,'2. Inputs'!I58*I89+'2. Inputs'!I59*MAX(0,I89-'2. Inputs'!I60)+'2. Inputs'!I61*I89,0)</f>
        <v/>
      </c>
      <c r="J90" s="76">
        <f>IF(J89&gt;0,'2. Inputs'!J58*J89+'2. Inputs'!J59*MAX(0,J89-'2. Inputs'!J60)+'2. Inputs'!J61*J89,0)</f>
        <v/>
      </c>
      <c r="K90" s="76">
        <f>IF(K89&gt;0,'2. Inputs'!K58*K89+'2. Inputs'!K59*MAX(0,K89-'2. Inputs'!K60)+'2. Inputs'!K61*K89,0)</f>
        <v/>
      </c>
      <c r="L90" s="76">
        <f>IF(L89&gt;0,'2. Inputs'!L58*L89+'2. Inputs'!L59*MAX(0,L89-'2. Inputs'!L60)+'2. Inputs'!L61*L89,0)</f>
        <v/>
      </c>
      <c r="M90" s="76">
        <f>IF(M89&gt;0,'2. Inputs'!M58*M89+'2. Inputs'!M59*MAX(0,M89-'2. Inputs'!M60)+'2. Inputs'!M61*M89,0)</f>
        <v/>
      </c>
      <c r="N90" s="122" t="n"/>
      <c r="O90" s="122" t="n"/>
      <c r="P90" s="122" t="n"/>
      <c r="Q90" s="122" t="n"/>
      <c r="R90" s="122" t="n"/>
      <c r="S90" s="122" t="n"/>
      <c r="T90" s="122" t="n"/>
      <c r="U90" s="122" t="n"/>
      <c r="V90" s="122" t="n"/>
      <c r="W90" s="122" t="n"/>
      <c r="X90" s="122" t="n"/>
    </row>
    <row r="91">
      <c r="A91" s="71" t="inlineStr">
        <is>
          <t>NOPAT (R$)</t>
        </is>
      </c>
      <c r="B91" s="122" t="n"/>
      <c r="C91" s="76" t="n"/>
      <c r="D91" s="76">
        <f>D89-D90</f>
        <v/>
      </c>
      <c r="E91" s="76">
        <f>E89-E90</f>
        <v/>
      </c>
      <c r="F91" s="76">
        <f>F89-F90</f>
        <v/>
      </c>
      <c r="G91" s="76">
        <f>G89-G90</f>
        <v/>
      </c>
      <c r="H91" s="76">
        <f>H89-H90</f>
        <v/>
      </c>
      <c r="I91" s="76">
        <f>I89-I90</f>
        <v/>
      </c>
      <c r="J91" s="76">
        <f>J89-J90</f>
        <v/>
      </c>
      <c r="K91" s="76">
        <f>K89-K90</f>
        <v/>
      </c>
      <c r="L91" s="76">
        <f>L89-L90</f>
        <v/>
      </c>
      <c r="M91" s="76">
        <f>M89-M90</f>
        <v/>
      </c>
      <c r="N91" s="122" t="n"/>
      <c r="O91" s="122" t="n"/>
      <c r="P91" s="122" t="n"/>
      <c r="Q91" s="122" t="n"/>
      <c r="R91" s="122" t="n"/>
      <c r="S91" s="122" t="n"/>
      <c r="T91" s="122" t="n"/>
      <c r="U91" s="122" t="n"/>
      <c r="V91" s="122" t="n"/>
      <c r="W91" s="122" t="n"/>
      <c r="X91" s="122" t="n"/>
    </row>
    <row r="92">
      <c r="A92" s="71" t="inlineStr">
        <is>
          <t>Capital de giro (R$)</t>
        </is>
      </c>
      <c r="B92" s="122" t="n"/>
      <c r="C92" s="76">
        <f>D92</f>
        <v/>
      </c>
      <c r="D92" s="76">
        <f>'2. Inputs'!D64/'2. Inputs'!D68*D85+'2. Inputs'!D65/'2. Inputs'!D68*(D77+D78)+'2. Inputs'!D67/'2. Inputs'!D68*(D77+D78+D86+D79+D80+D81)-'2. Inputs'!D66/'2. Inputs'!D68*(D77+D78)</f>
        <v/>
      </c>
      <c r="E92" s="76">
        <f>'2. Inputs'!E64/'2. Inputs'!E68*E85+'2. Inputs'!E65/'2. Inputs'!E68*(E77+E78)+'2. Inputs'!E67/'2. Inputs'!E68*(E77+E78+E86+E79+E80+E81)-'2. Inputs'!E66/'2. Inputs'!E68*(E77+E78)</f>
        <v/>
      </c>
      <c r="F92" s="76">
        <f>'2. Inputs'!F64/'2. Inputs'!F68*F85+'2. Inputs'!F65/'2. Inputs'!F68*(F77+F78)+'2. Inputs'!F67/'2. Inputs'!F68*(F77+F78+F86+F79+F80+F81)-'2. Inputs'!F66/'2. Inputs'!F68*(F77+F78)</f>
        <v/>
      </c>
      <c r="G92" s="76">
        <f>'2. Inputs'!G64/'2. Inputs'!G68*G85+'2. Inputs'!G65/'2. Inputs'!G68*(G77+G78)+'2. Inputs'!G67/'2. Inputs'!G68*(G77+G78+G86+G79+G80+G81)-'2. Inputs'!G66/'2. Inputs'!G68*(G77+G78)</f>
        <v/>
      </c>
      <c r="H92" s="76">
        <f>'2. Inputs'!H64/'2. Inputs'!H68*H85+'2. Inputs'!H65/'2. Inputs'!H68*(H77+H78)+'2. Inputs'!H67/'2. Inputs'!H68*(H77+H78+H86+H79+H80+H81)-'2. Inputs'!H66/'2. Inputs'!H68*(H77+H78)</f>
        <v/>
      </c>
      <c r="I92" s="76">
        <f>'2. Inputs'!I64/'2. Inputs'!I68*I85+'2. Inputs'!I65/'2. Inputs'!I68*(I77+I78)+'2. Inputs'!I67/'2. Inputs'!I68*(I77+I78+I86+I79+I80+I81)-'2. Inputs'!I66/'2. Inputs'!I68*(I77+I78)</f>
        <v/>
      </c>
      <c r="J92" s="76">
        <f>'2. Inputs'!J64/'2. Inputs'!J68*J85+'2. Inputs'!J65/'2. Inputs'!J68*(J77+J78)+'2. Inputs'!J67/'2. Inputs'!J68*(J77+J78+J86+J79+J80+J81)-'2. Inputs'!J66/'2. Inputs'!J68*(J77+J78)</f>
        <v/>
      </c>
      <c r="K92" s="76">
        <f>'2. Inputs'!K64/'2. Inputs'!K68*K85+'2. Inputs'!K65/'2. Inputs'!K68*(K77+K78)+'2. Inputs'!K67/'2. Inputs'!K68*(K77+K78+K86+K79+K80+K81)-'2. Inputs'!K66/'2. Inputs'!K68*(K77+K78)</f>
        <v/>
      </c>
      <c r="L92" s="76">
        <f>'2. Inputs'!L64/'2. Inputs'!L68*L85+'2. Inputs'!L65/'2. Inputs'!L68*(L77+L78)+'2. Inputs'!L67/'2. Inputs'!L68*(L77+L78+L86+L79+L80+L81)-'2. Inputs'!L66/'2. Inputs'!L68*(L77+L78)</f>
        <v/>
      </c>
      <c r="M92" s="76">
        <f>'2. Inputs'!M64/'2. Inputs'!M68*M85+'2. Inputs'!M65/'2. Inputs'!M68*(M77+M78)+'2. Inputs'!M67/'2. Inputs'!M68*(M77+M78+M86+M79+M80+M81)-'2. Inputs'!M66/'2. Inputs'!M68*(M77+M78)</f>
        <v/>
      </c>
      <c r="N92" s="122" t="n"/>
      <c r="O92" s="122" t="n"/>
      <c r="P92" s="122" t="n"/>
      <c r="Q92" s="122" t="n"/>
      <c r="R92" s="122" t="n"/>
      <c r="S92" s="122" t="n"/>
      <c r="T92" s="122" t="n"/>
      <c r="U92" s="122" t="n"/>
      <c r="V92" s="122" t="n"/>
      <c r="W92" s="122" t="n"/>
      <c r="X92" s="122" t="n"/>
    </row>
    <row r="93">
      <c r="A93" s="71" t="inlineStr">
        <is>
          <t>Δ capital de giro (R$)</t>
        </is>
      </c>
      <c r="B93" s="122" t="n"/>
      <c r="C93" s="76">
        <f>C92</f>
        <v/>
      </c>
      <c r="D93" s="76">
        <f>D92-C92</f>
        <v/>
      </c>
      <c r="E93" s="76">
        <f>E92-D92</f>
        <v/>
      </c>
      <c r="F93" s="76">
        <f>F92-E92</f>
        <v/>
      </c>
      <c r="G93" s="76">
        <f>G92-F92</f>
        <v/>
      </c>
      <c r="H93" s="76">
        <f>H92-G92</f>
        <v/>
      </c>
      <c r="I93" s="76">
        <f>I92-H92</f>
        <v/>
      </c>
      <c r="J93" s="76">
        <f>J92-I92</f>
        <v/>
      </c>
      <c r="K93" s="76">
        <f>K92-J92</f>
        <v/>
      </c>
      <c r="L93" s="76">
        <f>L92-K92</f>
        <v/>
      </c>
      <c r="M93" s="76">
        <f>M92-L92</f>
        <v/>
      </c>
      <c r="N93" s="122" t="n"/>
      <c r="O93" s="122" t="n"/>
      <c r="P93" s="122" t="n"/>
      <c r="Q93" s="122" t="n"/>
      <c r="R93" s="122" t="n"/>
      <c r="S93" s="122" t="n"/>
      <c r="T93" s="122" t="n"/>
      <c r="U93" s="122" t="n"/>
      <c r="V93" s="122" t="n"/>
      <c r="W93" s="122" t="n"/>
      <c r="X93" s="122" t="n"/>
    </row>
    <row r="94">
      <c r="A94" s="71" t="inlineStr">
        <is>
          <t>Fluxo de caixa livre (R$)</t>
        </is>
      </c>
      <c r="B94" s="122" t="n"/>
      <c r="C94" s="83">
        <f>-C93-'2. Inputs'!C53</f>
        <v/>
      </c>
      <c r="D94" s="83">
        <f>D91+D82-D93-'2. Inputs'!D53+IF(D$72=10,D92,0)</f>
        <v/>
      </c>
      <c r="E94" s="83">
        <f>E91+E82-E93-'2. Inputs'!E53+IF(E$72=10,E92,0)</f>
        <v/>
      </c>
      <c r="F94" s="83">
        <f>F91+F82-F93-'2. Inputs'!F53+IF(F$72=10,F92,0)</f>
        <v/>
      </c>
      <c r="G94" s="83">
        <f>G91+G82-G93-'2. Inputs'!G53+IF(G$72=10,G92,0)</f>
        <v/>
      </c>
      <c r="H94" s="83">
        <f>H91+H82-H93-'2. Inputs'!H53+IF(H$72=10,H92,0)</f>
        <v/>
      </c>
      <c r="I94" s="83">
        <f>I91+I82-I93-'2. Inputs'!I53+IF(I$72=10,I92,0)</f>
        <v/>
      </c>
      <c r="J94" s="83">
        <f>J91+J82-J93-'2. Inputs'!J53+IF(J$72=10,J92,0)</f>
        <v/>
      </c>
      <c r="K94" s="83">
        <f>K91+K82-K93-'2. Inputs'!K53+IF(K$72=10,K92,0)</f>
        <v/>
      </c>
      <c r="L94" s="83">
        <f>L91+L82-L93-'2. Inputs'!L53+IF(L$72=10,L92,0)</f>
        <v/>
      </c>
      <c r="M94" s="83">
        <f>M91+M82-M93-'2. Inputs'!M53+IF(M$72=10,M92,0)</f>
        <v/>
      </c>
      <c r="N94" s="84">
        <f>C94/(1+'2. Inputs'!$C$81)^C72</f>
        <v/>
      </c>
      <c r="O94" s="84">
        <f>N94+D94/(1+'2. Inputs'!$C$81)^D72</f>
        <v/>
      </c>
      <c r="P94" s="84">
        <f>O94+E94/(1+'2. Inputs'!$C$81)^E72</f>
        <v/>
      </c>
      <c r="Q94" s="84">
        <f>P94+F94/(1+'2. Inputs'!$C$81)^F72</f>
        <v/>
      </c>
      <c r="R94" s="84">
        <f>Q94+G94/(1+'2. Inputs'!$C$81)^G72</f>
        <v/>
      </c>
      <c r="S94" s="84">
        <f>R94+H94/(1+'2. Inputs'!$C$81)^H72</f>
        <v/>
      </c>
      <c r="T94" s="84">
        <f>S94+I94/(1+'2. Inputs'!$C$81)^I72</f>
        <v/>
      </c>
      <c r="U94" s="84">
        <f>T94+J94/(1+'2. Inputs'!$C$81)^J72</f>
        <v/>
      </c>
      <c r="V94" s="84">
        <f>U94+K94/(1+'2. Inputs'!$C$81)^K72</f>
        <v/>
      </c>
      <c r="W94" s="84">
        <f>V94+L94/(1+'2. Inputs'!$C$81)^L72</f>
        <v/>
      </c>
      <c r="X94" s="84">
        <f>W94+M94/(1+'2. Inputs'!$C$81)^M72</f>
        <v/>
      </c>
    </row>
    <row r="95">
      <c r="A95" s="122" t="n"/>
      <c r="B95" s="122" t="n"/>
      <c r="C95" s="122" t="n"/>
      <c r="D95" s="122" t="n"/>
      <c r="E95" s="122" t="n"/>
      <c r="F95" s="122" t="n"/>
      <c r="G95" s="122" t="n"/>
      <c r="H95" s="122" t="n"/>
      <c r="I95" s="122" t="n"/>
      <c r="J95" s="122" t="n"/>
      <c r="K95" s="122" t="n"/>
      <c r="L95" s="122" t="n"/>
      <c r="M95" s="122" t="n"/>
      <c r="N95" s="122" t="n"/>
      <c r="O95" s="122" t="n"/>
      <c r="P95" s="122" t="n"/>
      <c r="Q95" s="122" t="n"/>
      <c r="R95" s="122" t="n"/>
      <c r="S95" s="122" t="n"/>
      <c r="T95" s="122" t="n"/>
      <c r="U95" s="122" t="n"/>
      <c r="V95" s="122" t="n"/>
      <c r="W95" s="122" t="n"/>
      <c r="X95" s="122" t="n"/>
    </row>
    <row r="96">
      <c r="A96" s="15" t="inlineStr">
        <is>
          <t>CORRIDA 4 — Volume −10%</t>
        </is>
      </c>
      <c r="B96" s="126" t="n"/>
      <c r="C96" s="126" t="n"/>
      <c r="D96" s="126" t="n"/>
      <c r="E96" s="126" t="n"/>
      <c r="F96" s="126" t="n"/>
      <c r="G96" s="126" t="n"/>
      <c r="H96" s="126" t="n"/>
      <c r="I96" s="126" t="n"/>
      <c r="J96" s="126" t="n"/>
      <c r="K96" s="126" t="n"/>
      <c r="L96" s="126" t="n"/>
      <c r="M96" s="126" t="n"/>
      <c r="N96" s="122" t="n"/>
      <c r="O96" s="122" t="n"/>
      <c r="P96" s="122" t="n"/>
      <c r="Q96" s="122" t="n"/>
      <c r="R96" s="122" t="n"/>
      <c r="S96" s="122" t="n"/>
      <c r="T96" s="122" t="n"/>
      <c r="U96" s="122" t="n"/>
      <c r="V96" s="122" t="n"/>
      <c r="W96" s="122" t="n"/>
      <c r="X96" s="122" t="n"/>
    </row>
    <row r="97">
      <c r="A97" s="78" t="inlineStr">
        <is>
          <t>Ano</t>
        </is>
      </c>
      <c r="B97" s="122" t="n"/>
      <c r="C97" s="79" t="n">
        <v>0</v>
      </c>
      <c r="D97" s="79" t="n">
        <v>1</v>
      </c>
      <c r="E97" s="79" t="n">
        <v>2</v>
      </c>
      <c r="F97" s="79" t="n">
        <v>3</v>
      </c>
      <c r="G97" s="79" t="n">
        <v>4</v>
      </c>
      <c r="H97" s="79" t="n">
        <v>5</v>
      </c>
      <c r="I97" s="79" t="n">
        <v>6</v>
      </c>
      <c r="J97" s="79" t="n">
        <v>7</v>
      </c>
      <c r="K97" s="79" t="n">
        <v>8</v>
      </c>
      <c r="L97" s="79" t="n">
        <v>9</v>
      </c>
      <c r="M97" s="79" t="n">
        <v>10</v>
      </c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2" t="n"/>
    </row>
    <row r="98">
      <c r="A98" s="71" t="inlineStr">
        <is>
          <t>Volume (un)</t>
        </is>
      </c>
      <c r="B98" s="122" t="n"/>
      <c r="C98" s="76" t="n"/>
      <c r="D98" s="76">
        <f>'2. Inputs'!D11*(1+$C$10)</f>
        <v/>
      </c>
      <c r="E98" s="76">
        <f>'2. Inputs'!E11*(1+$C$10)</f>
        <v/>
      </c>
      <c r="F98" s="76">
        <f>'2. Inputs'!F11*(1+$C$10)</f>
        <v/>
      </c>
      <c r="G98" s="76">
        <f>'2. Inputs'!G11*(1+$C$10)</f>
        <v/>
      </c>
      <c r="H98" s="76">
        <f>'2. Inputs'!H11*(1+$C$10)</f>
        <v/>
      </c>
      <c r="I98" s="76">
        <f>'2. Inputs'!I11*(1+$C$10)</f>
        <v/>
      </c>
      <c r="J98" s="76">
        <f>'2. Inputs'!J11*(1+$C$10)</f>
        <v/>
      </c>
      <c r="K98" s="76">
        <f>'2. Inputs'!K11*(1+$C$10)</f>
        <v/>
      </c>
      <c r="L98" s="76">
        <f>'2. Inputs'!L11*(1+$C$10)</f>
        <v/>
      </c>
      <c r="M98" s="76">
        <f>'2. Inputs'!M11*(1+$C$10)</f>
        <v/>
      </c>
      <c r="N98" s="122" t="n"/>
      <c r="O98" s="122" t="n"/>
      <c r="P98" s="122" t="n"/>
      <c r="Q98" s="122" t="n"/>
      <c r="R98" s="122" t="n"/>
      <c r="S98" s="122" t="n"/>
      <c r="T98" s="122" t="n"/>
      <c r="U98" s="122" t="n"/>
      <c r="V98" s="122" t="n"/>
      <c r="W98" s="122" t="n"/>
      <c r="X98" s="122" t="n"/>
    </row>
    <row r="99">
      <c r="A99" s="71" t="inlineStr">
        <is>
          <t>Frete unitário (R$/un)</t>
        </is>
      </c>
      <c r="B99" s="80">
        <f>('2. Inputs'!D25*'2. Inputs'!$C$96+'2. Inputs'!D26*'2. Inputs'!$C$97+'2. Inputs'!D27*'2. Inputs'!$C$98+'2. Inputs'!D28*'2. Inputs'!$C$99)/'2. Inputs'!$C$100</f>
        <v/>
      </c>
      <c r="C99" s="81" t="n"/>
      <c r="D99" s="81">
        <f>$G$10*'2. Inputs'!D24+(1-$G$10)*$B$99</f>
        <v/>
      </c>
      <c r="E99" s="81">
        <f>$G$10*'2. Inputs'!E24+(1-$G$10)*$B$99</f>
        <v/>
      </c>
      <c r="F99" s="81">
        <f>$G$10*'2. Inputs'!F24+(1-$G$10)*$B$99</f>
        <v/>
      </c>
      <c r="G99" s="81">
        <f>$G$10*'2. Inputs'!G24+(1-$G$10)*$B$99</f>
        <v/>
      </c>
      <c r="H99" s="81">
        <f>$G$10*'2. Inputs'!H24+(1-$G$10)*$B$99</f>
        <v/>
      </c>
      <c r="I99" s="81">
        <f>$G$10*'2. Inputs'!I24+(1-$G$10)*$B$99</f>
        <v/>
      </c>
      <c r="J99" s="81">
        <f>$G$10*'2. Inputs'!J24+(1-$G$10)*$B$99</f>
        <v/>
      </c>
      <c r="K99" s="81">
        <f>$G$10*'2. Inputs'!K24+(1-$G$10)*$B$99</f>
        <v/>
      </c>
      <c r="L99" s="81">
        <f>$G$10*'2. Inputs'!L24+(1-$G$10)*$B$99</f>
        <v/>
      </c>
      <c r="M99" s="81">
        <f>$G$10*'2. Inputs'!M24+(1-$G$10)*$B$99</f>
        <v/>
      </c>
      <c r="N99" s="122" t="n"/>
      <c r="O99" s="2" t="inlineStr">
        <is>
          <t>Coluna B: frete unitário médio fora do Sudeste, nas proporções da origem (Sul 5%, NE 3%, N 2%, CO 10%).</t>
        </is>
      </c>
      <c r="P99" s="122" t="n"/>
      <c r="Q99" s="122" t="n"/>
      <c r="R99" s="122" t="n"/>
      <c r="S99" s="122" t="n"/>
      <c r="T99" s="122" t="n"/>
      <c r="U99" s="122" t="n"/>
      <c r="V99" s="122" t="n"/>
      <c r="W99" s="122" t="n"/>
      <c r="X99" s="122" t="n"/>
    </row>
    <row r="100">
      <c r="A100" s="71" t="inlineStr">
        <is>
          <t>Custo variável unitário (R$/un)</t>
        </is>
      </c>
      <c r="B100" s="122" t="n"/>
      <c r="C100" s="82" t="n"/>
      <c r="D100" s="82">
        <f>'2. Inputs'!D43*(1+$E$10)</f>
        <v/>
      </c>
      <c r="E100" s="82">
        <f>'2. Inputs'!E43*(1+$E$10)</f>
        <v/>
      </c>
      <c r="F100" s="82">
        <f>'2. Inputs'!F43*(1+$E$10)</f>
        <v/>
      </c>
      <c r="G100" s="82">
        <f>'2. Inputs'!G43*(1+$E$10)</f>
        <v/>
      </c>
      <c r="H100" s="82">
        <f>'2. Inputs'!H43*(1+$E$10)</f>
        <v/>
      </c>
      <c r="I100" s="82">
        <f>'2. Inputs'!I43*(1+$E$10)</f>
        <v/>
      </c>
      <c r="J100" s="82">
        <f>'2. Inputs'!J43*(1+$E$10)</f>
        <v/>
      </c>
      <c r="K100" s="82">
        <f>'2. Inputs'!K43*(1+$E$10)</f>
        <v/>
      </c>
      <c r="L100" s="82">
        <f>'2. Inputs'!L43*(1+$E$10)</f>
        <v/>
      </c>
      <c r="M100" s="82">
        <f>'2. Inputs'!M43*(1+$E$10)</f>
        <v/>
      </c>
      <c r="N100" s="122" t="n"/>
      <c r="O100" s="122" t="n"/>
      <c r="P100" s="122" t="n"/>
      <c r="Q100" s="122" t="n"/>
      <c r="R100" s="122" t="n"/>
      <c r="S100" s="122" t="n"/>
      <c r="T100" s="122" t="n"/>
      <c r="U100" s="122" t="n"/>
      <c r="V100" s="122" t="n"/>
      <c r="W100" s="122" t="n"/>
      <c r="X100" s="122" t="n"/>
    </row>
    <row r="101">
      <c r="A101" s="71" t="inlineStr">
        <is>
          <t>Markup total (%)</t>
        </is>
      </c>
      <c r="B101" s="122" t="n"/>
      <c r="C101" s="72" t="n"/>
      <c r="D101" s="72">
        <f>'2. Inputs'!D32+'2. Inputs'!D33+'2. Inputs'!D34+'2. Inputs'!D35+'2. Inputs'!D36+$D$10</f>
        <v/>
      </c>
      <c r="E101" s="72">
        <f>'2. Inputs'!E32+'2. Inputs'!E33+'2. Inputs'!E34+'2. Inputs'!E35+'2. Inputs'!E36+$D$10</f>
        <v/>
      </c>
      <c r="F101" s="72">
        <f>'2. Inputs'!F32+'2. Inputs'!F33+'2. Inputs'!F34+'2. Inputs'!F35+'2. Inputs'!F36+$D$10</f>
        <v/>
      </c>
      <c r="G101" s="72">
        <f>'2. Inputs'!G32+'2. Inputs'!G33+'2. Inputs'!G34+'2. Inputs'!G35+'2. Inputs'!G36+$D$10</f>
        <v/>
      </c>
      <c r="H101" s="72">
        <f>'2. Inputs'!H32+'2. Inputs'!H33+'2. Inputs'!H34+'2. Inputs'!H35+'2. Inputs'!H36+$D$10</f>
        <v/>
      </c>
      <c r="I101" s="72">
        <f>'2. Inputs'!I32+'2. Inputs'!I33+'2. Inputs'!I34+'2. Inputs'!I35+'2. Inputs'!I36+$D$10</f>
        <v/>
      </c>
      <c r="J101" s="72">
        <f>'2. Inputs'!J32+'2. Inputs'!J33+'2. Inputs'!J34+'2. Inputs'!J35+'2. Inputs'!J36+$D$10</f>
        <v/>
      </c>
      <c r="K101" s="72">
        <f>'2. Inputs'!K32+'2. Inputs'!K33+'2. Inputs'!K34+'2. Inputs'!K35+'2. Inputs'!K36+$D$10</f>
        <v/>
      </c>
      <c r="L101" s="72">
        <f>'2. Inputs'!L32+'2. Inputs'!L33+'2. Inputs'!L34+'2. Inputs'!L35+'2. Inputs'!L36+$D$10</f>
        <v/>
      </c>
      <c r="M101" s="72">
        <f>'2. Inputs'!M32+'2. Inputs'!M33+'2. Inputs'!M34+'2. Inputs'!M35+'2. Inputs'!M36+$D$10</f>
        <v/>
      </c>
      <c r="N101" s="122" t="n"/>
      <c r="O101" s="122" t="n"/>
      <c r="P101" s="122" t="n"/>
      <c r="Q101" s="122" t="n"/>
      <c r="R101" s="122" t="n"/>
      <c r="S101" s="122" t="n"/>
      <c r="T101" s="122" t="n"/>
      <c r="U101" s="122" t="n"/>
      <c r="V101" s="122" t="n"/>
      <c r="W101" s="122" t="n"/>
      <c r="X101" s="122" t="n"/>
    </row>
    <row r="102">
      <c r="A102" s="71" t="inlineStr">
        <is>
          <t>Custo variável (R$)</t>
        </is>
      </c>
      <c r="B102" s="122" t="n"/>
      <c r="C102" s="76" t="n"/>
      <c r="D102" s="76">
        <f>D98*D100</f>
        <v/>
      </c>
      <c r="E102" s="76">
        <f>E98*E100</f>
        <v/>
      </c>
      <c r="F102" s="76">
        <f>F98*F100</f>
        <v/>
      </c>
      <c r="G102" s="76">
        <f>G98*G100</f>
        <v/>
      </c>
      <c r="H102" s="76">
        <f>H98*H100</f>
        <v/>
      </c>
      <c r="I102" s="76">
        <f>I98*I100</f>
        <v/>
      </c>
      <c r="J102" s="76">
        <f>J98*J100</f>
        <v/>
      </c>
      <c r="K102" s="76">
        <f>K98*K100</f>
        <v/>
      </c>
      <c r="L102" s="76">
        <f>L98*L100</f>
        <v/>
      </c>
      <c r="M102" s="76">
        <f>M98*M100</f>
        <v/>
      </c>
      <c r="N102" s="122" t="n"/>
      <c r="O102" s="122" t="n"/>
      <c r="P102" s="122" t="n"/>
      <c r="Q102" s="122" t="n"/>
      <c r="R102" s="122" t="n"/>
      <c r="S102" s="122" t="n"/>
      <c r="T102" s="122" t="n"/>
      <c r="U102" s="122" t="n"/>
      <c r="V102" s="122" t="n"/>
      <c r="W102" s="122" t="n"/>
      <c r="X102" s="122" t="n"/>
    </row>
    <row r="103">
      <c r="A103" s="71" t="inlineStr">
        <is>
          <t>Frete (R$)</t>
        </is>
      </c>
      <c r="B103" s="122" t="n"/>
      <c r="C103" s="76" t="n"/>
      <c r="D103" s="76">
        <f>D98*D99</f>
        <v/>
      </c>
      <c r="E103" s="76">
        <f>E98*E99</f>
        <v/>
      </c>
      <c r="F103" s="76">
        <f>F98*F99</f>
        <v/>
      </c>
      <c r="G103" s="76">
        <f>G98*G99</f>
        <v/>
      </c>
      <c r="H103" s="76">
        <f>H98*H99</f>
        <v/>
      </c>
      <c r="I103" s="76">
        <f>I98*I99</f>
        <v/>
      </c>
      <c r="J103" s="76">
        <f>J98*J99</f>
        <v/>
      </c>
      <c r="K103" s="76">
        <f>K98*K99</f>
        <v/>
      </c>
      <c r="L103" s="76">
        <f>L98*L99</f>
        <v/>
      </c>
      <c r="M103" s="76">
        <f>M98*M99</f>
        <v/>
      </c>
      <c r="N103" s="122" t="n"/>
      <c r="O103" s="122" t="n"/>
      <c r="P103" s="122" t="n"/>
      <c r="Q103" s="122" t="n"/>
      <c r="R103" s="122" t="n"/>
      <c r="S103" s="122" t="n"/>
      <c r="T103" s="122" t="n"/>
      <c r="U103" s="122" t="n"/>
      <c r="V103" s="122" t="n"/>
      <c r="W103" s="122" t="n"/>
      <c r="X103" s="122" t="n"/>
    </row>
    <row r="104">
      <c r="A104" s="71" t="inlineStr">
        <is>
          <t>Custo fixo de estrutura (R$)</t>
        </is>
      </c>
      <c r="B104" s="122" t="n"/>
      <c r="C104" s="76" t="n"/>
      <c r="D104" s="76">
        <f>'2. Inputs'!D46</f>
        <v/>
      </c>
      <c r="E104" s="76">
        <f>'2. Inputs'!E46</f>
        <v/>
      </c>
      <c r="F104" s="76">
        <f>'2. Inputs'!F46</f>
        <v/>
      </c>
      <c r="G104" s="76">
        <f>'2. Inputs'!G46</f>
        <v/>
      </c>
      <c r="H104" s="76">
        <f>'2. Inputs'!H46</f>
        <v/>
      </c>
      <c r="I104" s="76">
        <f>'2. Inputs'!I46</f>
        <v/>
      </c>
      <c r="J104" s="76">
        <f>'2. Inputs'!J46</f>
        <v/>
      </c>
      <c r="K104" s="76">
        <f>'2. Inputs'!K46</f>
        <v/>
      </c>
      <c r="L104" s="76">
        <f>'2. Inputs'!L46</f>
        <v/>
      </c>
      <c r="M104" s="76">
        <f>'2. Inputs'!M46</f>
        <v/>
      </c>
      <c r="N104" s="122" t="n"/>
      <c r="O104" s="122" t="n"/>
      <c r="P104" s="122" t="n"/>
      <c r="Q104" s="122" t="n"/>
      <c r="R104" s="122" t="n"/>
      <c r="S104" s="122" t="n"/>
      <c r="T104" s="122" t="n"/>
      <c r="U104" s="122" t="n"/>
      <c r="V104" s="122" t="n"/>
      <c r="W104" s="122" t="n"/>
      <c r="X104" s="122" t="n"/>
    </row>
    <row r="105">
      <c r="A105" s="71" t="inlineStr">
        <is>
          <t>Manutenção e seguro (R$)</t>
        </is>
      </c>
      <c r="B105" s="122" t="n"/>
      <c r="C105" s="76" t="n"/>
      <c r="D105" s="76">
        <f>('2. Inputs'!D47+'2. Inputs'!D48)*'2. Inputs'!D54</f>
        <v/>
      </c>
      <c r="E105" s="76">
        <f>('2. Inputs'!E47+'2. Inputs'!E48)*'2. Inputs'!E54</f>
        <v/>
      </c>
      <c r="F105" s="76">
        <f>('2. Inputs'!F47+'2. Inputs'!F48)*'2. Inputs'!F54</f>
        <v/>
      </c>
      <c r="G105" s="76">
        <f>('2. Inputs'!G47+'2. Inputs'!G48)*'2. Inputs'!G54</f>
        <v/>
      </c>
      <c r="H105" s="76">
        <f>('2. Inputs'!H47+'2. Inputs'!H48)*'2. Inputs'!H54</f>
        <v/>
      </c>
      <c r="I105" s="76">
        <f>('2. Inputs'!I47+'2. Inputs'!I48)*'2. Inputs'!I54</f>
        <v/>
      </c>
      <c r="J105" s="76">
        <f>('2. Inputs'!J47+'2. Inputs'!J48)*'2. Inputs'!J54</f>
        <v/>
      </c>
      <c r="K105" s="76">
        <f>('2. Inputs'!K47+'2. Inputs'!K48)*'2. Inputs'!K54</f>
        <v/>
      </c>
      <c r="L105" s="76">
        <f>('2. Inputs'!L47+'2. Inputs'!L48)*'2. Inputs'!L54</f>
        <v/>
      </c>
      <c r="M105" s="76">
        <f>('2. Inputs'!M47+'2. Inputs'!M48)*'2. Inputs'!M54</f>
        <v/>
      </c>
      <c r="N105" s="122" t="n"/>
      <c r="O105" s="122" t="n"/>
      <c r="P105" s="122" t="n"/>
      <c r="Q105" s="122" t="n"/>
      <c r="R105" s="122" t="n"/>
      <c r="S105" s="122" t="n"/>
      <c r="T105" s="122" t="n"/>
      <c r="U105" s="122" t="n"/>
      <c r="V105" s="122" t="n"/>
      <c r="W105" s="122" t="n"/>
      <c r="X105" s="122" t="n"/>
    </row>
    <row r="106">
      <c r="A106" s="71" t="inlineStr">
        <is>
          <t>Contingência (R$)</t>
        </is>
      </c>
      <c r="B106" s="122" t="n"/>
      <c r="C106" s="76" t="n"/>
      <c r="D106" s="76">
        <f>$F$10*'2. Inputs'!D54</f>
        <v/>
      </c>
      <c r="E106" s="76">
        <f>$F$10*'2. Inputs'!E54</f>
        <v/>
      </c>
      <c r="F106" s="76">
        <f>$F$10*'2. Inputs'!F54</f>
        <v/>
      </c>
      <c r="G106" s="76">
        <f>$F$10*'2. Inputs'!G54</f>
        <v/>
      </c>
      <c r="H106" s="76">
        <f>$F$10*'2. Inputs'!H54</f>
        <v/>
      </c>
      <c r="I106" s="76">
        <f>$F$10*'2. Inputs'!I54</f>
        <v/>
      </c>
      <c r="J106" s="76">
        <f>$F$10*'2. Inputs'!J54</f>
        <v/>
      </c>
      <c r="K106" s="76">
        <f>$F$10*'2. Inputs'!K54</f>
        <v/>
      </c>
      <c r="L106" s="76">
        <f>$F$10*'2. Inputs'!L54</f>
        <v/>
      </c>
      <c r="M106" s="76">
        <f>$F$10*'2. Inputs'!M54</f>
        <v/>
      </c>
      <c r="N106" s="122" t="n"/>
      <c r="O106" s="122" t="n"/>
      <c r="P106" s="122" t="n"/>
      <c r="Q106" s="122" t="n"/>
      <c r="R106" s="122" t="n"/>
      <c r="S106" s="122" t="n"/>
      <c r="T106" s="122" t="n"/>
      <c r="U106" s="122" t="n"/>
      <c r="V106" s="122" t="n"/>
      <c r="W106" s="122" t="n"/>
      <c r="X106" s="122" t="n"/>
    </row>
    <row r="107">
      <c r="A107" s="71" t="inlineStr">
        <is>
          <t>Depreciação (R$)</t>
        </is>
      </c>
      <c r="B107" s="122" t="n"/>
      <c r="C107" s="76" t="n"/>
      <c r="D107" s="76">
        <f>'3. Depreciacao'!D31</f>
        <v/>
      </c>
      <c r="E107" s="76">
        <f>'3. Depreciacao'!E31</f>
        <v/>
      </c>
      <c r="F107" s="76">
        <f>'3. Depreciacao'!F31</f>
        <v/>
      </c>
      <c r="G107" s="76">
        <f>'3. Depreciacao'!G31</f>
        <v/>
      </c>
      <c r="H107" s="76">
        <f>'3. Depreciacao'!H31</f>
        <v/>
      </c>
      <c r="I107" s="76">
        <f>'3. Depreciacao'!I31</f>
        <v/>
      </c>
      <c r="J107" s="76">
        <f>'3. Depreciacao'!J31</f>
        <v/>
      </c>
      <c r="K107" s="76">
        <f>'3. Depreciacao'!K31</f>
        <v/>
      </c>
      <c r="L107" s="76">
        <f>'3. Depreciacao'!L31</f>
        <v/>
      </c>
      <c r="M107" s="76">
        <f>'3. Depreciacao'!M31</f>
        <v/>
      </c>
      <c r="N107" s="122" t="n"/>
      <c r="O107" s="122" t="n"/>
      <c r="P107" s="122" t="n"/>
      <c r="Q107" s="122" t="n"/>
      <c r="R107" s="122" t="n"/>
      <c r="S107" s="122" t="n"/>
      <c r="T107" s="122" t="n"/>
      <c r="U107" s="122" t="n"/>
      <c r="V107" s="122" t="n"/>
      <c r="W107" s="122" t="n"/>
      <c r="X107" s="122" t="n"/>
    </row>
    <row r="108">
      <c r="A108" s="71" t="inlineStr">
        <is>
          <t>Custo total (R$)</t>
        </is>
      </c>
      <c r="B108" s="122" t="n"/>
      <c r="C108" s="76" t="n"/>
      <c r="D108" s="76">
        <f>SUM(D102:D107)</f>
        <v/>
      </c>
      <c r="E108" s="76">
        <f>SUM(E102:E107)</f>
        <v/>
      </c>
      <c r="F108" s="76">
        <f>SUM(F102:F107)</f>
        <v/>
      </c>
      <c r="G108" s="76">
        <f>SUM(G102:G107)</f>
        <v/>
      </c>
      <c r="H108" s="76">
        <f>SUM(H102:H107)</f>
        <v/>
      </c>
      <c r="I108" s="76">
        <f>SUM(I102:I107)</f>
        <v/>
      </c>
      <c r="J108" s="76">
        <f>SUM(J102:J107)</f>
        <v/>
      </c>
      <c r="K108" s="76">
        <f>SUM(K102:K107)</f>
        <v/>
      </c>
      <c r="L108" s="76">
        <f>SUM(L102:L107)</f>
        <v/>
      </c>
      <c r="M108" s="76">
        <f>SUM(M102:M107)</f>
        <v/>
      </c>
      <c r="N108" s="122" t="n"/>
      <c r="O108" s="122" t="n"/>
      <c r="P108" s="122" t="n"/>
      <c r="Q108" s="122" t="n"/>
      <c r="R108" s="122" t="n"/>
      <c r="S108" s="122" t="n"/>
      <c r="T108" s="122" t="n"/>
      <c r="U108" s="122" t="n"/>
      <c r="V108" s="122" t="n"/>
      <c r="W108" s="122" t="n"/>
      <c r="X108" s="122" t="n"/>
    </row>
    <row r="109">
      <c r="A109" s="71" t="inlineStr">
        <is>
          <t>Preço bruto unitário (R$/un)</t>
        </is>
      </c>
      <c r="B109" s="122" t="n"/>
      <c r="C109" s="82" t="n"/>
      <c r="D109" s="82">
        <f>IF('2. Inputs'!$C$38=1,D108/D98/(1-D101),'2. Inputs'!D39)</f>
        <v/>
      </c>
      <c r="E109" s="82">
        <f>IF('2. Inputs'!$C$38=1,E108/E98/(1-E101),'2. Inputs'!E39)</f>
        <v/>
      </c>
      <c r="F109" s="82">
        <f>IF('2. Inputs'!$C$38=1,F108/F98/(1-F101),'2. Inputs'!F39)</f>
        <v/>
      </c>
      <c r="G109" s="82">
        <f>IF('2. Inputs'!$C$38=1,G108/G98/(1-G101),'2. Inputs'!G39)</f>
        <v/>
      </c>
      <c r="H109" s="82">
        <f>IF('2. Inputs'!$C$38=1,H108/H98/(1-H101),'2. Inputs'!H39)</f>
        <v/>
      </c>
      <c r="I109" s="82">
        <f>IF('2. Inputs'!$C$38=1,I108/I98/(1-I101),'2. Inputs'!I39)</f>
        <v/>
      </c>
      <c r="J109" s="82">
        <f>IF('2. Inputs'!$C$38=1,J108/J98/(1-J101),'2. Inputs'!J39)</f>
        <v/>
      </c>
      <c r="K109" s="82">
        <f>IF('2. Inputs'!$C$38=1,K108/K98/(1-K101),'2. Inputs'!K39)</f>
        <v/>
      </c>
      <c r="L109" s="82">
        <f>IF('2. Inputs'!$C$38=1,L108/L98/(1-L101),'2. Inputs'!L39)</f>
        <v/>
      </c>
      <c r="M109" s="82">
        <f>IF('2. Inputs'!$C$38=1,M108/M98/(1-M101),'2. Inputs'!M39)</f>
        <v/>
      </c>
      <c r="N109" s="122" t="n"/>
      <c r="O109" s="122" t="n"/>
      <c r="P109" s="122" t="n"/>
      <c r="Q109" s="122" t="n"/>
      <c r="R109" s="122" t="n"/>
      <c r="S109" s="122" t="n"/>
      <c r="T109" s="122" t="n"/>
      <c r="U109" s="122" t="n"/>
      <c r="V109" s="122" t="n"/>
      <c r="W109" s="122" t="n"/>
      <c r="X109" s="122" t="n"/>
    </row>
    <row r="110">
      <c r="A110" s="71" t="inlineStr">
        <is>
          <t>Receita bruta (R$)</t>
        </is>
      </c>
      <c r="B110" s="122" t="n"/>
      <c r="C110" s="76" t="n"/>
      <c r="D110" s="76">
        <f>D98*D109</f>
        <v/>
      </c>
      <c r="E110" s="76">
        <f>E98*E109</f>
        <v/>
      </c>
      <c r="F110" s="76">
        <f>F98*F109</f>
        <v/>
      </c>
      <c r="G110" s="76">
        <f>G98*G109</f>
        <v/>
      </c>
      <c r="H110" s="76">
        <f>H98*H109</f>
        <v/>
      </c>
      <c r="I110" s="76">
        <f>I98*I109</f>
        <v/>
      </c>
      <c r="J110" s="76">
        <f>J98*J109</f>
        <v/>
      </c>
      <c r="K110" s="76">
        <f>K98*K109</f>
        <v/>
      </c>
      <c r="L110" s="76">
        <f>L98*L109</f>
        <v/>
      </c>
      <c r="M110" s="76">
        <f>M98*M109</f>
        <v/>
      </c>
      <c r="N110" s="122" t="n"/>
      <c r="O110" s="122" t="n"/>
      <c r="P110" s="122" t="n"/>
      <c r="Q110" s="122" t="n"/>
      <c r="R110" s="122" t="n"/>
      <c r="S110" s="122" t="n"/>
      <c r="T110" s="122" t="n"/>
      <c r="U110" s="122" t="n"/>
      <c r="V110" s="122" t="n"/>
      <c r="W110" s="122" t="n"/>
      <c r="X110" s="122" t="n"/>
    </row>
    <row r="111">
      <c r="A111" s="71" t="inlineStr">
        <is>
          <t>Comissão (R$)</t>
        </is>
      </c>
      <c r="B111" s="122" t="n"/>
      <c r="C111" s="76" t="n"/>
      <c r="D111" s="76">
        <f>'2. Inputs'!D35*D110</f>
        <v/>
      </c>
      <c r="E111" s="76">
        <f>'2. Inputs'!E35*E110</f>
        <v/>
      </c>
      <c r="F111" s="76">
        <f>'2. Inputs'!F35*F110</f>
        <v/>
      </c>
      <c r="G111" s="76">
        <f>'2. Inputs'!G35*G110</f>
        <v/>
      </c>
      <c r="H111" s="76">
        <f>'2. Inputs'!H35*H110</f>
        <v/>
      </c>
      <c r="I111" s="76">
        <f>'2. Inputs'!I35*I110</f>
        <v/>
      </c>
      <c r="J111" s="76">
        <f>'2. Inputs'!J35*J110</f>
        <v/>
      </c>
      <c r="K111" s="76">
        <f>'2. Inputs'!K35*K110</f>
        <v/>
      </c>
      <c r="L111" s="76">
        <f>'2. Inputs'!L35*L110</f>
        <v/>
      </c>
      <c r="M111" s="76">
        <f>'2. Inputs'!M35*M110</f>
        <v/>
      </c>
      <c r="N111" s="122" t="n"/>
      <c r="O111" s="122" t="n"/>
      <c r="P111" s="122" t="n"/>
      <c r="Q111" s="122" t="n"/>
      <c r="R111" s="122" t="n"/>
      <c r="S111" s="122" t="n"/>
      <c r="T111" s="122" t="n"/>
      <c r="U111" s="122" t="n"/>
      <c r="V111" s="122" t="n"/>
      <c r="W111" s="122" t="n"/>
      <c r="X111" s="122" t="n"/>
    </row>
    <row r="112">
      <c r="A112" s="71" t="inlineStr">
        <is>
          <t>Receita líquida (R$)</t>
        </is>
      </c>
      <c r="B112" s="122" t="n"/>
      <c r="C112" s="76" t="n"/>
      <c r="D112" s="76">
        <f>D110*(1-'2. Inputs'!D32-'2. Inputs'!D33-'2. Inputs'!D34)</f>
        <v/>
      </c>
      <c r="E112" s="76">
        <f>E110*(1-'2. Inputs'!E32-'2. Inputs'!E33-'2. Inputs'!E34)</f>
        <v/>
      </c>
      <c r="F112" s="76">
        <f>F110*(1-'2. Inputs'!F32-'2. Inputs'!F33-'2. Inputs'!F34)</f>
        <v/>
      </c>
      <c r="G112" s="76">
        <f>G110*(1-'2. Inputs'!G32-'2. Inputs'!G33-'2. Inputs'!G34)</f>
        <v/>
      </c>
      <c r="H112" s="76">
        <f>H110*(1-'2. Inputs'!H32-'2. Inputs'!H33-'2. Inputs'!H34)</f>
        <v/>
      </c>
      <c r="I112" s="76">
        <f>I110*(1-'2. Inputs'!I32-'2. Inputs'!I33-'2. Inputs'!I34)</f>
        <v/>
      </c>
      <c r="J112" s="76">
        <f>J110*(1-'2. Inputs'!J32-'2. Inputs'!J33-'2. Inputs'!J34)</f>
        <v/>
      </c>
      <c r="K112" s="76">
        <f>K110*(1-'2. Inputs'!K32-'2. Inputs'!K33-'2. Inputs'!K34)</f>
        <v/>
      </c>
      <c r="L112" s="76">
        <f>L110*(1-'2. Inputs'!L32-'2. Inputs'!L33-'2. Inputs'!L34)</f>
        <v/>
      </c>
      <c r="M112" s="76">
        <f>M110*(1-'2. Inputs'!M32-'2. Inputs'!M33-'2. Inputs'!M34)</f>
        <v/>
      </c>
      <c r="N112" s="122" t="n"/>
      <c r="O112" s="122" t="n"/>
      <c r="P112" s="122" t="n"/>
      <c r="Q112" s="122" t="n"/>
      <c r="R112" s="122" t="n"/>
      <c r="S112" s="122" t="n"/>
      <c r="T112" s="122" t="n"/>
      <c r="U112" s="122" t="n"/>
      <c r="V112" s="122" t="n"/>
      <c r="W112" s="122" t="n"/>
      <c r="X112" s="122" t="n"/>
    </row>
    <row r="113">
      <c r="A113" s="71" t="inlineStr">
        <is>
          <t>EBITDA (R$)</t>
        </is>
      </c>
      <c r="B113" s="122" t="n"/>
      <c r="C113" s="76" t="n"/>
      <c r="D113" s="76">
        <f>D112-D102-D103-D111-D104-D105-D106</f>
        <v/>
      </c>
      <c r="E113" s="76">
        <f>E112-E102-E103-E111-E104-E105-E106</f>
        <v/>
      </c>
      <c r="F113" s="76">
        <f>F112-F102-F103-F111-F104-F105-F106</f>
        <v/>
      </c>
      <c r="G113" s="76">
        <f>G112-G102-G103-G111-G104-G105-G106</f>
        <v/>
      </c>
      <c r="H113" s="76">
        <f>H112-H102-H103-H111-H104-H105-H106</f>
        <v/>
      </c>
      <c r="I113" s="76">
        <f>I112-I102-I103-I111-I104-I105-I106</f>
        <v/>
      </c>
      <c r="J113" s="76">
        <f>J112-J102-J103-J111-J104-J105-J106</f>
        <v/>
      </c>
      <c r="K113" s="76">
        <f>K112-K102-K103-K111-K104-K105-K106</f>
        <v/>
      </c>
      <c r="L113" s="76">
        <f>L112-L102-L103-L111-L104-L105-L106</f>
        <v/>
      </c>
      <c r="M113" s="76">
        <f>M112-M102-M103-M111-M104-M105-M106</f>
        <v/>
      </c>
      <c r="N113" s="122" t="n"/>
      <c r="O113" s="122" t="n"/>
      <c r="P113" s="122" t="n"/>
      <c r="Q113" s="122" t="n"/>
      <c r="R113" s="122" t="n"/>
      <c r="S113" s="122" t="n"/>
      <c r="T113" s="122" t="n"/>
      <c r="U113" s="122" t="n"/>
      <c r="V113" s="122" t="n"/>
      <c r="W113" s="122" t="n"/>
      <c r="X113" s="122" t="n"/>
    </row>
    <row r="114">
      <c r="A114" s="71" t="inlineStr">
        <is>
          <t>EBIT (R$)</t>
        </is>
      </c>
      <c r="B114" s="122" t="n"/>
      <c r="C114" s="76" t="n"/>
      <c r="D114" s="76">
        <f>D113-D107</f>
        <v/>
      </c>
      <c r="E114" s="76">
        <f>E113-E107</f>
        <v/>
      </c>
      <c r="F114" s="76">
        <f>F113-F107</f>
        <v/>
      </c>
      <c r="G114" s="76">
        <f>G113-G107</f>
        <v/>
      </c>
      <c r="H114" s="76">
        <f>H113-H107</f>
        <v/>
      </c>
      <c r="I114" s="76">
        <f>I113-I107</f>
        <v/>
      </c>
      <c r="J114" s="76">
        <f>J113-J107</f>
        <v/>
      </c>
      <c r="K114" s="76">
        <f>K113-K107</f>
        <v/>
      </c>
      <c r="L114" s="76">
        <f>L113-L107</f>
        <v/>
      </c>
      <c r="M114" s="76">
        <f>M113-M107</f>
        <v/>
      </c>
      <c r="N114" s="122" t="n"/>
      <c r="O114" s="122" t="n"/>
      <c r="P114" s="122" t="n"/>
      <c r="Q114" s="122" t="n"/>
      <c r="R114" s="122" t="n"/>
      <c r="S114" s="122" t="n"/>
      <c r="T114" s="122" t="n"/>
      <c r="U114" s="122" t="n"/>
      <c r="V114" s="122" t="n"/>
      <c r="W114" s="122" t="n"/>
      <c r="X114" s="122" t="n"/>
    </row>
    <row r="115">
      <c r="A115" s="71" t="inlineStr">
        <is>
          <t>IRPJ + adicional + CSLL (R$)</t>
        </is>
      </c>
      <c r="B115" s="122" t="n"/>
      <c r="C115" s="76" t="n"/>
      <c r="D115" s="76">
        <f>IF(D114&gt;0,'2. Inputs'!D58*D114+'2. Inputs'!D59*MAX(0,D114-'2. Inputs'!D60)+'2. Inputs'!D61*D114,0)</f>
        <v/>
      </c>
      <c r="E115" s="76">
        <f>IF(E114&gt;0,'2. Inputs'!E58*E114+'2. Inputs'!E59*MAX(0,E114-'2. Inputs'!E60)+'2. Inputs'!E61*E114,0)</f>
        <v/>
      </c>
      <c r="F115" s="76">
        <f>IF(F114&gt;0,'2. Inputs'!F58*F114+'2. Inputs'!F59*MAX(0,F114-'2. Inputs'!F60)+'2. Inputs'!F61*F114,0)</f>
        <v/>
      </c>
      <c r="G115" s="76">
        <f>IF(G114&gt;0,'2. Inputs'!G58*G114+'2. Inputs'!G59*MAX(0,G114-'2. Inputs'!G60)+'2. Inputs'!G61*G114,0)</f>
        <v/>
      </c>
      <c r="H115" s="76">
        <f>IF(H114&gt;0,'2. Inputs'!H58*H114+'2. Inputs'!H59*MAX(0,H114-'2. Inputs'!H60)+'2. Inputs'!H61*H114,0)</f>
        <v/>
      </c>
      <c r="I115" s="76">
        <f>IF(I114&gt;0,'2. Inputs'!I58*I114+'2. Inputs'!I59*MAX(0,I114-'2. Inputs'!I60)+'2. Inputs'!I61*I114,0)</f>
        <v/>
      </c>
      <c r="J115" s="76">
        <f>IF(J114&gt;0,'2. Inputs'!J58*J114+'2. Inputs'!J59*MAX(0,J114-'2. Inputs'!J60)+'2. Inputs'!J61*J114,0)</f>
        <v/>
      </c>
      <c r="K115" s="76">
        <f>IF(K114&gt;0,'2. Inputs'!K58*K114+'2. Inputs'!K59*MAX(0,K114-'2. Inputs'!K60)+'2. Inputs'!K61*K114,0)</f>
        <v/>
      </c>
      <c r="L115" s="76">
        <f>IF(L114&gt;0,'2. Inputs'!L58*L114+'2. Inputs'!L59*MAX(0,L114-'2. Inputs'!L60)+'2. Inputs'!L61*L114,0)</f>
        <v/>
      </c>
      <c r="M115" s="76">
        <f>IF(M114&gt;0,'2. Inputs'!M58*M114+'2. Inputs'!M59*MAX(0,M114-'2. Inputs'!M60)+'2. Inputs'!M61*M114,0)</f>
        <v/>
      </c>
      <c r="N115" s="122" t="n"/>
      <c r="O115" s="122" t="n"/>
      <c r="P115" s="122" t="n"/>
      <c r="Q115" s="122" t="n"/>
      <c r="R115" s="122" t="n"/>
      <c r="S115" s="122" t="n"/>
      <c r="T115" s="122" t="n"/>
      <c r="U115" s="122" t="n"/>
      <c r="V115" s="122" t="n"/>
      <c r="W115" s="122" t="n"/>
      <c r="X115" s="122" t="n"/>
    </row>
    <row r="116">
      <c r="A116" s="71" t="inlineStr">
        <is>
          <t>NOPAT (R$)</t>
        </is>
      </c>
      <c r="B116" s="122" t="n"/>
      <c r="C116" s="76" t="n"/>
      <c r="D116" s="76">
        <f>D114-D115</f>
        <v/>
      </c>
      <c r="E116" s="76">
        <f>E114-E115</f>
        <v/>
      </c>
      <c r="F116" s="76">
        <f>F114-F115</f>
        <v/>
      </c>
      <c r="G116" s="76">
        <f>G114-G115</f>
        <v/>
      </c>
      <c r="H116" s="76">
        <f>H114-H115</f>
        <v/>
      </c>
      <c r="I116" s="76">
        <f>I114-I115</f>
        <v/>
      </c>
      <c r="J116" s="76">
        <f>J114-J115</f>
        <v/>
      </c>
      <c r="K116" s="76">
        <f>K114-K115</f>
        <v/>
      </c>
      <c r="L116" s="76">
        <f>L114-L115</f>
        <v/>
      </c>
      <c r="M116" s="76">
        <f>M114-M115</f>
        <v/>
      </c>
      <c r="N116" s="122" t="n"/>
      <c r="O116" s="122" t="n"/>
      <c r="P116" s="122" t="n"/>
      <c r="Q116" s="122" t="n"/>
      <c r="R116" s="122" t="n"/>
      <c r="S116" s="122" t="n"/>
      <c r="T116" s="122" t="n"/>
      <c r="U116" s="122" t="n"/>
      <c r="V116" s="122" t="n"/>
      <c r="W116" s="122" t="n"/>
      <c r="X116" s="122" t="n"/>
    </row>
    <row r="117">
      <c r="A117" s="71" t="inlineStr">
        <is>
          <t>Capital de giro (R$)</t>
        </is>
      </c>
      <c r="B117" s="122" t="n"/>
      <c r="C117" s="76">
        <f>D117</f>
        <v/>
      </c>
      <c r="D117" s="76">
        <f>'2. Inputs'!D64/'2. Inputs'!D68*D110+'2. Inputs'!D65/'2. Inputs'!D68*(D102+D103)+'2. Inputs'!D67/'2. Inputs'!D68*(D102+D103+D111+D104+D105+D106)-'2. Inputs'!D66/'2. Inputs'!D68*(D102+D103)</f>
        <v/>
      </c>
      <c r="E117" s="76">
        <f>'2. Inputs'!E64/'2. Inputs'!E68*E110+'2. Inputs'!E65/'2. Inputs'!E68*(E102+E103)+'2. Inputs'!E67/'2. Inputs'!E68*(E102+E103+E111+E104+E105+E106)-'2. Inputs'!E66/'2. Inputs'!E68*(E102+E103)</f>
        <v/>
      </c>
      <c r="F117" s="76">
        <f>'2. Inputs'!F64/'2. Inputs'!F68*F110+'2. Inputs'!F65/'2. Inputs'!F68*(F102+F103)+'2. Inputs'!F67/'2. Inputs'!F68*(F102+F103+F111+F104+F105+F106)-'2. Inputs'!F66/'2. Inputs'!F68*(F102+F103)</f>
        <v/>
      </c>
      <c r="G117" s="76">
        <f>'2. Inputs'!G64/'2. Inputs'!G68*G110+'2. Inputs'!G65/'2. Inputs'!G68*(G102+G103)+'2. Inputs'!G67/'2. Inputs'!G68*(G102+G103+G111+G104+G105+G106)-'2. Inputs'!G66/'2. Inputs'!G68*(G102+G103)</f>
        <v/>
      </c>
      <c r="H117" s="76">
        <f>'2. Inputs'!H64/'2. Inputs'!H68*H110+'2. Inputs'!H65/'2. Inputs'!H68*(H102+H103)+'2. Inputs'!H67/'2. Inputs'!H68*(H102+H103+H111+H104+H105+H106)-'2. Inputs'!H66/'2. Inputs'!H68*(H102+H103)</f>
        <v/>
      </c>
      <c r="I117" s="76">
        <f>'2. Inputs'!I64/'2. Inputs'!I68*I110+'2. Inputs'!I65/'2. Inputs'!I68*(I102+I103)+'2. Inputs'!I67/'2. Inputs'!I68*(I102+I103+I111+I104+I105+I106)-'2. Inputs'!I66/'2. Inputs'!I68*(I102+I103)</f>
        <v/>
      </c>
      <c r="J117" s="76">
        <f>'2. Inputs'!J64/'2. Inputs'!J68*J110+'2. Inputs'!J65/'2. Inputs'!J68*(J102+J103)+'2. Inputs'!J67/'2. Inputs'!J68*(J102+J103+J111+J104+J105+J106)-'2. Inputs'!J66/'2. Inputs'!J68*(J102+J103)</f>
        <v/>
      </c>
      <c r="K117" s="76">
        <f>'2. Inputs'!K64/'2. Inputs'!K68*K110+'2. Inputs'!K65/'2. Inputs'!K68*(K102+K103)+'2. Inputs'!K67/'2. Inputs'!K68*(K102+K103+K111+K104+K105+K106)-'2. Inputs'!K66/'2. Inputs'!K68*(K102+K103)</f>
        <v/>
      </c>
      <c r="L117" s="76">
        <f>'2. Inputs'!L64/'2. Inputs'!L68*L110+'2. Inputs'!L65/'2. Inputs'!L68*(L102+L103)+'2. Inputs'!L67/'2. Inputs'!L68*(L102+L103+L111+L104+L105+L106)-'2. Inputs'!L66/'2. Inputs'!L68*(L102+L103)</f>
        <v/>
      </c>
      <c r="M117" s="76">
        <f>'2. Inputs'!M64/'2. Inputs'!M68*M110+'2. Inputs'!M65/'2. Inputs'!M68*(M102+M103)+'2. Inputs'!M67/'2. Inputs'!M68*(M102+M103+M111+M104+M105+M106)-'2. Inputs'!M66/'2. Inputs'!M68*(M102+M103)</f>
        <v/>
      </c>
      <c r="N117" s="122" t="n"/>
      <c r="O117" s="122" t="n"/>
      <c r="P117" s="122" t="n"/>
      <c r="Q117" s="122" t="n"/>
      <c r="R117" s="122" t="n"/>
      <c r="S117" s="122" t="n"/>
      <c r="T117" s="122" t="n"/>
      <c r="U117" s="122" t="n"/>
      <c r="V117" s="122" t="n"/>
      <c r="W117" s="122" t="n"/>
      <c r="X117" s="122" t="n"/>
    </row>
    <row r="118">
      <c r="A118" s="71" t="inlineStr">
        <is>
          <t>Δ capital de giro (R$)</t>
        </is>
      </c>
      <c r="B118" s="122" t="n"/>
      <c r="C118" s="76">
        <f>C117</f>
        <v/>
      </c>
      <c r="D118" s="76">
        <f>D117-C117</f>
        <v/>
      </c>
      <c r="E118" s="76">
        <f>E117-D117</f>
        <v/>
      </c>
      <c r="F118" s="76">
        <f>F117-E117</f>
        <v/>
      </c>
      <c r="G118" s="76">
        <f>G117-F117</f>
        <v/>
      </c>
      <c r="H118" s="76">
        <f>H117-G117</f>
        <v/>
      </c>
      <c r="I118" s="76">
        <f>I117-H117</f>
        <v/>
      </c>
      <c r="J118" s="76">
        <f>J117-I117</f>
        <v/>
      </c>
      <c r="K118" s="76">
        <f>K117-J117</f>
        <v/>
      </c>
      <c r="L118" s="76">
        <f>L117-K117</f>
        <v/>
      </c>
      <c r="M118" s="76">
        <f>M117-L117</f>
        <v/>
      </c>
      <c r="N118" s="122" t="n"/>
      <c r="O118" s="122" t="n"/>
      <c r="P118" s="122" t="n"/>
      <c r="Q118" s="122" t="n"/>
      <c r="R118" s="122" t="n"/>
      <c r="S118" s="122" t="n"/>
      <c r="T118" s="122" t="n"/>
      <c r="U118" s="122" t="n"/>
      <c r="V118" s="122" t="n"/>
      <c r="W118" s="122" t="n"/>
      <c r="X118" s="122" t="n"/>
    </row>
    <row r="119">
      <c r="A119" s="71" t="inlineStr">
        <is>
          <t>Fluxo de caixa livre (R$)</t>
        </is>
      </c>
      <c r="B119" s="122" t="n"/>
      <c r="C119" s="83">
        <f>-C118-'2. Inputs'!C53</f>
        <v/>
      </c>
      <c r="D119" s="83">
        <f>D116+D107-D118-'2. Inputs'!D53+IF(D$97=10,D117,0)</f>
        <v/>
      </c>
      <c r="E119" s="83">
        <f>E116+E107-E118-'2. Inputs'!E53+IF(E$97=10,E117,0)</f>
        <v/>
      </c>
      <c r="F119" s="83">
        <f>F116+F107-F118-'2. Inputs'!F53+IF(F$97=10,F117,0)</f>
        <v/>
      </c>
      <c r="G119" s="83">
        <f>G116+G107-G118-'2. Inputs'!G53+IF(G$97=10,G117,0)</f>
        <v/>
      </c>
      <c r="H119" s="83">
        <f>H116+H107-H118-'2. Inputs'!H53+IF(H$97=10,H117,0)</f>
        <v/>
      </c>
      <c r="I119" s="83">
        <f>I116+I107-I118-'2. Inputs'!I53+IF(I$97=10,I117,0)</f>
        <v/>
      </c>
      <c r="J119" s="83">
        <f>J116+J107-J118-'2. Inputs'!J53+IF(J$97=10,J117,0)</f>
        <v/>
      </c>
      <c r="K119" s="83">
        <f>K116+K107-K118-'2. Inputs'!K53+IF(K$97=10,K117,0)</f>
        <v/>
      </c>
      <c r="L119" s="83">
        <f>L116+L107-L118-'2. Inputs'!L53+IF(L$97=10,L117,0)</f>
        <v/>
      </c>
      <c r="M119" s="83">
        <f>M116+M107-M118-'2. Inputs'!M53+IF(M$97=10,M117,0)</f>
        <v/>
      </c>
      <c r="N119" s="84">
        <f>C119/(1+'2. Inputs'!$C$81)^C97</f>
        <v/>
      </c>
      <c r="O119" s="84">
        <f>N119+D119/(1+'2. Inputs'!$C$81)^D97</f>
        <v/>
      </c>
      <c r="P119" s="84">
        <f>O119+E119/(1+'2. Inputs'!$C$81)^E97</f>
        <v/>
      </c>
      <c r="Q119" s="84">
        <f>P119+F119/(1+'2. Inputs'!$C$81)^F97</f>
        <v/>
      </c>
      <c r="R119" s="84">
        <f>Q119+G119/(1+'2. Inputs'!$C$81)^G97</f>
        <v/>
      </c>
      <c r="S119" s="84">
        <f>R119+H119/(1+'2. Inputs'!$C$81)^H97</f>
        <v/>
      </c>
      <c r="T119" s="84">
        <f>S119+I119/(1+'2. Inputs'!$C$81)^I97</f>
        <v/>
      </c>
      <c r="U119" s="84">
        <f>T119+J119/(1+'2. Inputs'!$C$81)^J97</f>
        <v/>
      </c>
      <c r="V119" s="84">
        <f>U119+K119/(1+'2. Inputs'!$C$81)^K97</f>
        <v/>
      </c>
      <c r="W119" s="84">
        <f>V119+L119/(1+'2. Inputs'!$C$81)^L97</f>
        <v/>
      </c>
      <c r="X119" s="84">
        <f>W119+M119/(1+'2. Inputs'!$C$81)^M97</f>
        <v/>
      </c>
    </row>
    <row r="120">
      <c r="A120" s="122" t="n"/>
      <c r="B120" s="122" t="n"/>
      <c r="C120" s="122" t="n"/>
      <c r="D120" s="122" t="n"/>
      <c r="E120" s="122" t="n"/>
      <c r="F120" s="122" t="n"/>
      <c r="G120" s="122" t="n"/>
      <c r="H120" s="122" t="n"/>
      <c r="I120" s="122" t="n"/>
      <c r="J120" s="122" t="n"/>
      <c r="K120" s="122" t="n"/>
      <c r="L120" s="122" t="n"/>
      <c r="M120" s="122" t="n"/>
      <c r="N120" s="122" t="n"/>
      <c r="O120" s="122" t="n"/>
      <c r="P120" s="122" t="n"/>
      <c r="Q120" s="122" t="n"/>
      <c r="R120" s="122" t="n"/>
      <c r="S120" s="122" t="n"/>
      <c r="T120" s="122" t="n"/>
      <c r="U120" s="122" t="n"/>
      <c r="V120" s="122" t="n"/>
      <c r="W120" s="122" t="n"/>
      <c r="X120" s="122" t="n"/>
    </row>
    <row r="121">
      <c r="A121" s="15" t="inlineStr">
        <is>
          <t>CORRIDA 5 — Volume +10%</t>
        </is>
      </c>
      <c r="B121" s="126" t="n"/>
      <c r="C121" s="126" t="n"/>
      <c r="D121" s="126" t="n"/>
      <c r="E121" s="126" t="n"/>
      <c r="F121" s="126" t="n"/>
      <c r="G121" s="126" t="n"/>
      <c r="H121" s="126" t="n"/>
      <c r="I121" s="126" t="n"/>
      <c r="J121" s="126" t="n"/>
      <c r="K121" s="126" t="n"/>
      <c r="L121" s="126" t="n"/>
      <c r="M121" s="126" t="n"/>
      <c r="N121" s="122" t="n"/>
      <c r="O121" s="122" t="n"/>
      <c r="P121" s="122" t="n"/>
      <c r="Q121" s="122" t="n"/>
      <c r="R121" s="122" t="n"/>
      <c r="S121" s="122" t="n"/>
      <c r="T121" s="122" t="n"/>
      <c r="U121" s="122" t="n"/>
      <c r="V121" s="122" t="n"/>
      <c r="W121" s="122" t="n"/>
      <c r="X121" s="122" t="n"/>
    </row>
    <row r="122">
      <c r="A122" s="78" t="inlineStr">
        <is>
          <t>Ano</t>
        </is>
      </c>
      <c r="B122" s="122" t="n"/>
      <c r="C122" s="79" t="n">
        <v>0</v>
      </c>
      <c r="D122" s="79" t="n">
        <v>1</v>
      </c>
      <c r="E122" s="79" t="n">
        <v>2</v>
      </c>
      <c r="F122" s="79" t="n">
        <v>3</v>
      </c>
      <c r="G122" s="79" t="n">
        <v>4</v>
      </c>
      <c r="H122" s="79" t="n">
        <v>5</v>
      </c>
      <c r="I122" s="79" t="n">
        <v>6</v>
      </c>
      <c r="J122" s="79" t="n">
        <v>7</v>
      </c>
      <c r="K122" s="79" t="n">
        <v>8</v>
      </c>
      <c r="L122" s="79" t="n">
        <v>9</v>
      </c>
      <c r="M122" s="79" t="n">
        <v>10</v>
      </c>
      <c r="N122" s="122" t="n"/>
      <c r="O122" s="122" t="n"/>
      <c r="P122" s="122" t="n"/>
      <c r="Q122" s="122" t="n"/>
      <c r="R122" s="122" t="n"/>
      <c r="S122" s="122" t="n"/>
      <c r="T122" s="122" t="n"/>
      <c r="U122" s="122" t="n"/>
      <c r="V122" s="122" t="n"/>
      <c r="W122" s="122" t="n"/>
      <c r="X122" s="122" t="n"/>
    </row>
    <row r="123">
      <c r="A123" s="71" t="inlineStr">
        <is>
          <t>Volume (un)</t>
        </is>
      </c>
      <c r="B123" s="122" t="n"/>
      <c r="C123" s="76" t="n"/>
      <c r="D123" s="76">
        <f>'2. Inputs'!D11*(1+$C$11)</f>
        <v/>
      </c>
      <c r="E123" s="76">
        <f>'2. Inputs'!E11*(1+$C$11)</f>
        <v/>
      </c>
      <c r="F123" s="76">
        <f>'2. Inputs'!F11*(1+$C$11)</f>
        <v/>
      </c>
      <c r="G123" s="76">
        <f>'2. Inputs'!G11*(1+$C$11)</f>
        <v/>
      </c>
      <c r="H123" s="76">
        <f>'2. Inputs'!H11*(1+$C$11)</f>
        <v/>
      </c>
      <c r="I123" s="76">
        <f>'2. Inputs'!I11*(1+$C$11)</f>
        <v/>
      </c>
      <c r="J123" s="76">
        <f>'2. Inputs'!J11*(1+$C$11)</f>
        <v/>
      </c>
      <c r="K123" s="76">
        <f>'2. Inputs'!K11*(1+$C$11)</f>
        <v/>
      </c>
      <c r="L123" s="76">
        <f>'2. Inputs'!L11*(1+$C$11)</f>
        <v/>
      </c>
      <c r="M123" s="76">
        <f>'2. Inputs'!M11*(1+$C$11)</f>
        <v/>
      </c>
      <c r="N123" s="122" t="n"/>
      <c r="O123" s="122" t="n"/>
      <c r="P123" s="122" t="n"/>
      <c r="Q123" s="122" t="n"/>
      <c r="R123" s="122" t="n"/>
      <c r="S123" s="122" t="n"/>
      <c r="T123" s="122" t="n"/>
      <c r="U123" s="122" t="n"/>
      <c r="V123" s="122" t="n"/>
      <c r="W123" s="122" t="n"/>
      <c r="X123" s="122" t="n"/>
    </row>
    <row r="124">
      <c r="A124" s="71" t="inlineStr">
        <is>
          <t>Frete unitário (R$/un)</t>
        </is>
      </c>
      <c r="B124" s="80">
        <f>('2. Inputs'!D25*'2. Inputs'!$C$96+'2. Inputs'!D26*'2. Inputs'!$C$97+'2. Inputs'!D27*'2. Inputs'!$C$98+'2. Inputs'!D28*'2. Inputs'!$C$99)/'2. Inputs'!$C$100</f>
        <v/>
      </c>
      <c r="C124" s="81" t="n"/>
      <c r="D124" s="81">
        <f>$G$11*'2. Inputs'!D24+(1-$G$11)*$B$124</f>
        <v/>
      </c>
      <c r="E124" s="81">
        <f>$G$11*'2. Inputs'!E24+(1-$G$11)*$B$124</f>
        <v/>
      </c>
      <c r="F124" s="81">
        <f>$G$11*'2. Inputs'!F24+(1-$G$11)*$B$124</f>
        <v/>
      </c>
      <c r="G124" s="81">
        <f>$G$11*'2. Inputs'!G24+(1-$G$11)*$B$124</f>
        <v/>
      </c>
      <c r="H124" s="81">
        <f>$G$11*'2. Inputs'!H24+(1-$G$11)*$B$124</f>
        <v/>
      </c>
      <c r="I124" s="81">
        <f>$G$11*'2. Inputs'!I24+(1-$G$11)*$B$124</f>
        <v/>
      </c>
      <c r="J124" s="81">
        <f>$G$11*'2. Inputs'!J24+(1-$G$11)*$B$124</f>
        <v/>
      </c>
      <c r="K124" s="81">
        <f>$G$11*'2. Inputs'!K24+(1-$G$11)*$B$124</f>
        <v/>
      </c>
      <c r="L124" s="81">
        <f>$G$11*'2. Inputs'!L24+(1-$G$11)*$B$124</f>
        <v/>
      </c>
      <c r="M124" s="81">
        <f>$G$11*'2. Inputs'!M24+(1-$G$11)*$B$124</f>
        <v/>
      </c>
      <c r="N124" s="122" t="n"/>
      <c r="O124" s="2" t="inlineStr">
        <is>
          <t>Coluna B: frete unitário médio fora do Sudeste, nas proporções da origem (Sul 5%, NE 3%, N 2%, CO 10%).</t>
        </is>
      </c>
      <c r="P124" s="122" t="n"/>
      <c r="Q124" s="122" t="n"/>
      <c r="R124" s="122" t="n"/>
      <c r="S124" s="122" t="n"/>
      <c r="T124" s="122" t="n"/>
      <c r="U124" s="122" t="n"/>
      <c r="V124" s="122" t="n"/>
      <c r="W124" s="122" t="n"/>
      <c r="X124" s="122" t="n"/>
    </row>
    <row r="125">
      <c r="A125" s="71" t="inlineStr">
        <is>
          <t>Custo variável unitário (R$/un)</t>
        </is>
      </c>
      <c r="B125" s="122" t="n"/>
      <c r="C125" s="82" t="n"/>
      <c r="D125" s="82">
        <f>'2. Inputs'!D43*(1+$E$11)</f>
        <v/>
      </c>
      <c r="E125" s="82">
        <f>'2. Inputs'!E43*(1+$E$11)</f>
        <v/>
      </c>
      <c r="F125" s="82">
        <f>'2. Inputs'!F43*(1+$E$11)</f>
        <v/>
      </c>
      <c r="G125" s="82">
        <f>'2. Inputs'!G43*(1+$E$11)</f>
        <v/>
      </c>
      <c r="H125" s="82">
        <f>'2. Inputs'!H43*(1+$E$11)</f>
        <v/>
      </c>
      <c r="I125" s="82">
        <f>'2. Inputs'!I43*(1+$E$11)</f>
        <v/>
      </c>
      <c r="J125" s="82">
        <f>'2. Inputs'!J43*(1+$E$11)</f>
        <v/>
      </c>
      <c r="K125" s="82">
        <f>'2. Inputs'!K43*(1+$E$11)</f>
        <v/>
      </c>
      <c r="L125" s="82">
        <f>'2. Inputs'!L43*(1+$E$11)</f>
        <v/>
      </c>
      <c r="M125" s="82">
        <f>'2. Inputs'!M43*(1+$E$11)</f>
        <v/>
      </c>
      <c r="N125" s="122" t="n"/>
      <c r="O125" s="122" t="n"/>
      <c r="P125" s="122" t="n"/>
      <c r="Q125" s="122" t="n"/>
      <c r="R125" s="122" t="n"/>
      <c r="S125" s="122" t="n"/>
      <c r="T125" s="122" t="n"/>
      <c r="U125" s="122" t="n"/>
      <c r="V125" s="122" t="n"/>
      <c r="W125" s="122" t="n"/>
      <c r="X125" s="122" t="n"/>
    </row>
    <row r="126">
      <c r="A126" s="71" t="inlineStr">
        <is>
          <t>Markup total (%)</t>
        </is>
      </c>
      <c r="B126" s="122" t="n"/>
      <c r="C126" s="72" t="n"/>
      <c r="D126" s="72">
        <f>'2. Inputs'!D32+'2. Inputs'!D33+'2. Inputs'!D34+'2. Inputs'!D35+'2. Inputs'!D36+$D$11</f>
        <v/>
      </c>
      <c r="E126" s="72">
        <f>'2. Inputs'!E32+'2. Inputs'!E33+'2. Inputs'!E34+'2. Inputs'!E35+'2. Inputs'!E36+$D$11</f>
        <v/>
      </c>
      <c r="F126" s="72">
        <f>'2. Inputs'!F32+'2. Inputs'!F33+'2. Inputs'!F34+'2. Inputs'!F35+'2. Inputs'!F36+$D$11</f>
        <v/>
      </c>
      <c r="G126" s="72">
        <f>'2. Inputs'!G32+'2. Inputs'!G33+'2. Inputs'!G34+'2. Inputs'!G35+'2. Inputs'!G36+$D$11</f>
        <v/>
      </c>
      <c r="H126" s="72">
        <f>'2. Inputs'!H32+'2. Inputs'!H33+'2. Inputs'!H34+'2. Inputs'!H35+'2. Inputs'!H36+$D$11</f>
        <v/>
      </c>
      <c r="I126" s="72">
        <f>'2. Inputs'!I32+'2. Inputs'!I33+'2. Inputs'!I34+'2. Inputs'!I35+'2. Inputs'!I36+$D$11</f>
        <v/>
      </c>
      <c r="J126" s="72">
        <f>'2. Inputs'!J32+'2. Inputs'!J33+'2. Inputs'!J34+'2. Inputs'!J35+'2. Inputs'!J36+$D$11</f>
        <v/>
      </c>
      <c r="K126" s="72">
        <f>'2. Inputs'!K32+'2. Inputs'!K33+'2. Inputs'!K34+'2. Inputs'!K35+'2. Inputs'!K36+$D$11</f>
        <v/>
      </c>
      <c r="L126" s="72">
        <f>'2. Inputs'!L32+'2. Inputs'!L33+'2. Inputs'!L34+'2. Inputs'!L35+'2. Inputs'!L36+$D$11</f>
        <v/>
      </c>
      <c r="M126" s="72">
        <f>'2. Inputs'!M32+'2. Inputs'!M33+'2. Inputs'!M34+'2. Inputs'!M35+'2. Inputs'!M36+$D$11</f>
        <v/>
      </c>
      <c r="N126" s="122" t="n"/>
      <c r="O126" s="122" t="n"/>
      <c r="P126" s="122" t="n"/>
      <c r="Q126" s="122" t="n"/>
      <c r="R126" s="122" t="n"/>
      <c r="S126" s="122" t="n"/>
      <c r="T126" s="122" t="n"/>
      <c r="U126" s="122" t="n"/>
      <c r="V126" s="122" t="n"/>
      <c r="W126" s="122" t="n"/>
      <c r="X126" s="122" t="n"/>
    </row>
    <row r="127">
      <c r="A127" s="71" t="inlineStr">
        <is>
          <t>Custo variável (R$)</t>
        </is>
      </c>
      <c r="B127" s="122" t="n"/>
      <c r="C127" s="76" t="n"/>
      <c r="D127" s="76">
        <f>D123*D125</f>
        <v/>
      </c>
      <c r="E127" s="76">
        <f>E123*E125</f>
        <v/>
      </c>
      <c r="F127" s="76">
        <f>F123*F125</f>
        <v/>
      </c>
      <c r="G127" s="76">
        <f>G123*G125</f>
        <v/>
      </c>
      <c r="H127" s="76">
        <f>H123*H125</f>
        <v/>
      </c>
      <c r="I127" s="76">
        <f>I123*I125</f>
        <v/>
      </c>
      <c r="J127" s="76">
        <f>J123*J125</f>
        <v/>
      </c>
      <c r="K127" s="76">
        <f>K123*K125</f>
        <v/>
      </c>
      <c r="L127" s="76">
        <f>L123*L125</f>
        <v/>
      </c>
      <c r="M127" s="76">
        <f>M123*M125</f>
        <v/>
      </c>
      <c r="N127" s="122" t="n"/>
      <c r="O127" s="122" t="n"/>
      <c r="P127" s="122" t="n"/>
      <c r="Q127" s="122" t="n"/>
      <c r="R127" s="122" t="n"/>
      <c r="S127" s="122" t="n"/>
      <c r="T127" s="122" t="n"/>
      <c r="U127" s="122" t="n"/>
      <c r="V127" s="122" t="n"/>
      <c r="W127" s="122" t="n"/>
      <c r="X127" s="122" t="n"/>
    </row>
    <row r="128">
      <c r="A128" s="71" t="inlineStr">
        <is>
          <t>Frete (R$)</t>
        </is>
      </c>
      <c r="B128" s="122" t="n"/>
      <c r="C128" s="76" t="n"/>
      <c r="D128" s="76">
        <f>D123*D124</f>
        <v/>
      </c>
      <c r="E128" s="76">
        <f>E123*E124</f>
        <v/>
      </c>
      <c r="F128" s="76">
        <f>F123*F124</f>
        <v/>
      </c>
      <c r="G128" s="76">
        <f>G123*G124</f>
        <v/>
      </c>
      <c r="H128" s="76">
        <f>H123*H124</f>
        <v/>
      </c>
      <c r="I128" s="76">
        <f>I123*I124</f>
        <v/>
      </c>
      <c r="J128" s="76">
        <f>J123*J124</f>
        <v/>
      </c>
      <c r="K128" s="76">
        <f>K123*K124</f>
        <v/>
      </c>
      <c r="L128" s="76">
        <f>L123*L124</f>
        <v/>
      </c>
      <c r="M128" s="76">
        <f>M123*M124</f>
        <v/>
      </c>
      <c r="N128" s="122" t="n"/>
      <c r="O128" s="122" t="n"/>
      <c r="P128" s="122" t="n"/>
      <c r="Q128" s="122" t="n"/>
      <c r="R128" s="122" t="n"/>
      <c r="S128" s="122" t="n"/>
      <c r="T128" s="122" t="n"/>
      <c r="U128" s="122" t="n"/>
      <c r="V128" s="122" t="n"/>
      <c r="W128" s="122" t="n"/>
      <c r="X128" s="122" t="n"/>
    </row>
    <row r="129">
      <c r="A129" s="71" t="inlineStr">
        <is>
          <t>Custo fixo de estrutura (R$)</t>
        </is>
      </c>
      <c r="B129" s="122" t="n"/>
      <c r="C129" s="76" t="n"/>
      <c r="D129" s="76">
        <f>'2. Inputs'!D46</f>
        <v/>
      </c>
      <c r="E129" s="76">
        <f>'2. Inputs'!E46</f>
        <v/>
      </c>
      <c r="F129" s="76">
        <f>'2. Inputs'!F46</f>
        <v/>
      </c>
      <c r="G129" s="76">
        <f>'2. Inputs'!G46</f>
        <v/>
      </c>
      <c r="H129" s="76">
        <f>'2. Inputs'!H46</f>
        <v/>
      </c>
      <c r="I129" s="76">
        <f>'2. Inputs'!I46</f>
        <v/>
      </c>
      <c r="J129" s="76">
        <f>'2. Inputs'!J46</f>
        <v/>
      </c>
      <c r="K129" s="76">
        <f>'2. Inputs'!K46</f>
        <v/>
      </c>
      <c r="L129" s="76">
        <f>'2. Inputs'!L46</f>
        <v/>
      </c>
      <c r="M129" s="76">
        <f>'2. Inputs'!M46</f>
        <v/>
      </c>
      <c r="N129" s="122" t="n"/>
      <c r="O129" s="122" t="n"/>
      <c r="P129" s="122" t="n"/>
      <c r="Q129" s="122" t="n"/>
      <c r="R129" s="122" t="n"/>
      <c r="S129" s="122" t="n"/>
      <c r="T129" s="122" t="n"/>
      <c r="U129" s="122" t="n"/>
      <c r="V129" s="122" t="n"/>
      <c r="W129" s="122" t="n"/>
      <c r="X129" s="122" t="n"/>
    </row>
    <row r="130">
      <c r="A130" s="71" t="inlineStr">
        <is>
          <t>Manutenção e seguro (R$)</t>
        </is>
      </c>
      <c r="B130" s="122" t="n"/>
      <c r="C130" s="76" t="n"/>
      <c r="D130" s="76">
        <f>('2. Inputs'!D47+'2. Inputs'!D48)*'2. Inputs'!D54</f>
        <v/>
      </c>
      <c r="E130" s="76">
        <f>('2. Inputs'!E47+'2. Inputs'!E48)*'2. Inputs'!E54</f>
        <v/>
      </c>
      <c r="F130" s="76">
        <f>('2. Inputs'!F47+'2. Inputs'!F48)*'2. Inputs'!F54</f>
        <v/>
      </c>
      <c r="G130" s="76">
        <f>('2. Inputs'!G47+'2. Inputs'!G48)*'2. Inputs'!G54</f>
        <v/>
      </c>
      <c r="H130" s="76">
        <f>('2. Inputs'!H47+'2. Inputs'!H48)*'2. Inputs'!H54</f>
        <v/>
      </c>
      <c r="I130" s="76">
        <f>('2. Inputs'!I47+'2. Inputs'!I48)*'2. Inputs'!I54</f>
        <v/>
      </c>
      <c r="J130" s="76">
        <f>('2. Inputs'!J47+'2. Inputs'!J48)*'2. Inputs'!J54</f>
        <v/>
      </c>
      <c r="K130" s="76">
        <f>('2. Inputs'!K47+'2. Inputs'!K48)*'2. Inputs'!K54</f>
        <v/>
      </c>
      <c r="L130" s="76">
        <f>('2. Inputs'!L47+'2. Inputs'!L48)*'2. Inputs'!L54</f>
        <v/>
      </c>
      <c r="M130" s="76">
        <f>('2. Inputs'!M47+'2. Inputs'!M48)*'2. Inputs'!M54</f>
        <v/>
      </c>
      <c r="N130" s="122" t="n"/>
      <c r="O130" s="122" t="n"/>
      <c r="P130" s="122" t="n"/>
      <c r="Q130" s="122" t="n"/>
      <c r="R130" s="122" t="n"/>
      <c r="S130" s="122" t="n"/>
      <c r="T130" s="122" t="n"/>
      <c r="U130" s="122" t="n"/>
      <c r="V130" s="122" t="n"/>
      <c r="W130" s="122" t="n"/>
      <c r="X130" s="122" t="n"/>
    </row>
    <row r="131">
      <c r="A131" s="71" t="inlineStr">
        <is>
          <t>Contingência (R$)</t>
        </is>
      </c>
      <c r="B131" s="122" t="n"/>
      <c r="C131" s="76" t="n"/>
      <c r="D131" s="76">
        <f>$F$11*'2. Inputs'!D54</f>
        <v/>
      </c>
      <c r="E131" s="76">
        <f>$F$11*'2. Inputs'!E54</f>
        <v/>
      </c>
      <c r="F131" s="76">
        <f>$F$11*'2. Inputs'!F54</f>
        <v/>
      </c>
      <c r="G131" s="76">
        <f>$F$11*'2. Inputs'!G54</f>
        <v/>
      </c>
      <c r="H131" s="76">
        <f>$F$11*'2. Inputs'!H54</f>
        <v/>
      </c>
      <c r="I131" s="76">
        <f>$F$11*'2. Inputs'!I54</f>
        <v/>
      </c>
      <c r="J131" s="76">
        <f>$F$11*'2. Inputs'!J54</f>
        <v/>
      </c>
      <c r="K131" s="76">
        <f>$F$11*'2. Inputs'!K54</f>
        <v/>
      </c>
      <c r="L131" s="76">
        <f>$F$11*'2. Inputs'!L54</f>
        <v/>
      </c>
      <c r="M131" s="76">
        <f>$F$11*'2. Inputs'!M54</f>
        <v/>
      </c>
      <c r="N131" s="122" t="n"/>
      <c r="O131" s="122" t="n"/>
      <c r="P131" s="122" t="n"/>
      <c r="Q131" s="122" t="n"/>
      <c r="R131" s="122" t="n"/>
      <c r="S131" s="122" t="n"/>
      <c r="T131" s="122" t="n"/>
      <c r="U131" s="122" t="n"/>
      <c r="V131" s="122" t="n"/>
      <c r="W131" s="122" t="n"/>
      <c r="X131" s="122" t="n"/>
    </row>
    <row r="132">
      <c r="A132" s="71" t="inlineStr">
        <is>
          <t>Depreciação (R$)</t>
        </is>
      </c>
      <c r="B132" s="122" t="n"/>
      <c r="C132" s="76" t="n"/>
      <c r="D132" s="76">
        <f>'3. Depreciacao'!D31</f>
        <v/>
      </c>
      <c r="E132" s="76">
        <f>'3. Depreciacao'!E31</f>
        <v/>
      </c>
      <c r="F132" s="76">
        <f>'3. Depreciacao'!F31</f>
        <v/>
      </c>
      <c r="G132" s="76">
        <f>'3. Depreciacao'!G31</f>
        <v/>
      </c>
      <c r="H132" s="76">
        <f>'3. Depreciacao'!H31</f>
        <v/>
      </c>
      <c r="I132" s="76">
        <f>'3. Depreciacao'!I31</f>
        <v/>
      </c>
      <c r="J132" s="76">
        <f>'3. Depreciacao'!J31</f>
        <v/>
      </c>
      <c r="K132" s="76">
        <f>'3. Depreciacao'!K31</f>
        <v/>
      </c>
      <c r="L132" s="76">
        <f>'3. Depreciacao'!L31</f>
        <v/>
      </c>
      <c r="M132" s="76">
        <f>'3. Depreciacao'!M31</f>
        <v/>
      </c>
      <c r="N132" s="122" t="n"/>
      <c r="O132" s="122" t="n"/>
      <c r="P132" s="122" t="n"/>
      <c r="Q132" s="122" t="n"/>
      <c r="R132" s="122" t="n"/>
      <c r="S132" s="122" t="n"/>
      <c r="T132" s="122" t="n"/>
      <c r="U132" s="122" t="n"/>
      <c r="V132" s="122" t="n"/>
      <c r="W132" s="122" t="n"/>
      <c r="X132" s="122" t="n"/>
    </row>
    <row r="133">
      <c r="A133" s="71" t="inlineStr">
        <is>
          <t>Custo total (R$)</t>
        </is>
      </c>
      <c r="B133" s="122" t="n"/>
      <c r="C133" s="76" t="n"/>
      <c r="D133" s="76">
        <f>SUM(D127:D132)</f>
        <v/>
      </c>
      <c r="E133" s="76">
        <f>SUM(E127:E132)</f>
        <v/>
      </c>
      <c r="F133" s="76">
        <f>SUM(F127:F132)</f>
        <v/>
      </c>
      <c r="G133" s="76">
        <f>SUM(G127:G132)</f>
        <v/>
      </c>
      <c r="H133" s="76">
        <f>SUM(H127:H132)</f>
        <v/>
      </c>
      <c r="I133" s="76">
        <f>SUM(I127:I132)</f>
        <v/>
      </c>
      <c r="J133" s="76">
        <f>SUM(J127:J132)</f>
        <v/>
      </c>
      <c r="K133" s="76">
        <f>SUM(K127:K132)</f>
        <v/>
      </c>
      <c r="L133" s="76">
        <f>SUM(L127:L132)</f>
        <v/>
      </c>
      <c r="M133" s="76">
        <f>SUM(M127:M132)</f>
        <v/>
      </c>
      <c r="N133" s="122" t="n"/>
      <c r="O133" s="122" t="n"/>
      <c r="P133" s="122" t="n"/>
      <c r="Q133" s="122" t="n"/>
      <c r="R133" s="122" t="n"/>
      <c r="S133" s="122" t="n"/>
      <c r="T133" s="122" t="n"/>
      <c r="U133" s="122" t="n"/>
      <c r="V133" s="122" t="n"/>
      <c r="W133" s="122" t="n"/>
      <c r="X133" s="122" t="n"/>
    </row>
    <row r="134">
      <c r="A134" s="71" t="inlineStr">
        <is>
          <t>Preço bruto unitário (R$/un)</t>
        </is>
      </c>
      <c r="B134" s="122" t="n"/>
      <c r="C134" s="82" t="n"/>
      <c r="D134" s="82">
        <f>IF('2. Inputs'!$C$38=1,D133/D123/(1-D126),'2. Inputs'!D39)</f>
        <v/>
      </c>
      <c r="E134" s="82">
        <f>IF('2. Inputs'!$C$38=1,E133/E123/(1-E126),'2. Inputs'!E39)</f>
        <v/>
      </c>
      <c r="F134" s="82">
        <f>IF('2. Inputs'!$C$38=1,F133/F123/(1-F126),'2. Inputs'!F39)</f>
        <v/>
      </c>
      <c r="G134" s="82">
        <f>IF('2. Inputs'!$C$38=1,G133/G123/(1-G126),'2. Inputs'!G39)</f>
        <v/>
      </c>
      <c r="H134" s="82">
        <f>IF('2. Inputs'!$C$38=1,H133/H123/(1-H126),'2. Inputs'!H39)</f>
        <v/>
      </c>
      <c r="I134" s="82">
        <f>IF('2. Inputs'!$C$38=1,I133/I123/(1-I126),'2. Inputs'!I39)</f>
        <v/>
      </c>
      <c r="J134" s="82">
        <f>IF('2. Inputs'!$C$38=1,J133/J123/(1-J126),'2. Inputs'!J39)</f>
        <v/>
      </c>
      <c r="K134" s="82">
        <f>IF('2. Inputs'!$C$38=1,K133/K123/(1-K126),'2. Inputs'!K39)</f>
        <v/>
      </c>
      <c r="L134" s="82">
        <f>IF('2. Inputs'!$C$38=1,L133/L123/(1-L126),'2. Inputs'!L39)</f>
        <v/>
      </c>
      <c r="M134" s="82">
        <f>IF('2. Inputs'!$C$38=1,M133/M123/(1-M126),'2. Inputs'!M39)</f>
        <v/>
      </c>
      <c r="N134" s="122" t="n"/>
      <c r="O134" s="122" t="n"/>
      <c r="P134" s="122" t="n"/>
      <c r="Q134" s="122" t="n"/>
      <c r="R134" s="122" t="n"/>
      <c r="S134" s="122" t="n"/>
      <c r="T134" s="122" t="n"/>
      <c r="U134" s="122" t="n"/>
      <c r="V134" s="122" t="n"/>
      <c r="W134" s="122" t="n"/>
      <c r="X134" s="122" t="n"/>
    </row>
    <row r="135">
      <c r="A135" s="71" t="inlineStr">
        <is>
          <t>Receita bruta (R$)</t>
        </is>
      </c>
      <c r="B135" s="122" t="n"/>
      <c r="C135" s="76" t="n"/>
      <c r="D135" s="76">
        <f>D123*D134</f>
        <v/>
      </c>
      <c r="E135" s="76">
        <f>E123*E134</f>
        <v/>
      </c>
      <c r="F135" s="76">
        <f>F123*F134</f>
        <v/>
      </c>
      <c r="G135" s="76">
        <f>G123*G134</f>
        <v/>
      </c>
      <c r="H135" s="76">
        <f>H123*H134</f>
        <v/>
      </c>
      <c r="I135" s="76">
        <f>I123*I134</f>
        <v/>
      </c>
      <c r="J135" s="76">
        <f>J123*J134</f>
        <v/>
      </c>
      <c r="K135" s="76">
        <f>K123*K134</f>
        <v/>
      </c>
      <c r="L135" s="76">
        <f>L123*L134</f>
        <v/>
      </c>
      <c r="M135" s="76">
        <f>M123*M134</f>
        <v/>
      </c>
      <c r="N135" s="122" t="n"/>
      <c r="O135" s="122" t="n"/>
      <c r="P135" s="122" t="n"/>
      <c r="Q135" s="122" t="n"/>
      <c r="R135" s="122" t="n"/>
      <c r="S135" s="122" t="n"/>
      <c r="T135" s="122" t="n"/>
      <c r="U135" s="122" t="n"/>
      <c r="V135" s="122" t="n"/>
      <c r="W135" s="122" t="n"/>
      <c r="X135" s="122" t="n"/>
    </row>
    <row r="136">
      <c r="A136" s="71" t="inlineStr">
        <is>
          <t>Comissão (R$)</t>
        </is>
      </c>
      <c r="B136" s="122" t="n"/>
      <c r="C136" s="76" t="n"/>
      <c r="D136" s="76">
        <f>'2. Inputs'!D35*D135</f>
        <v/>
      </c>
      <c r="E136" s="76">
        <f>'2. Inputs'!E35*E135</f>
        <v/>
      </c>
      <c r="F136" s="76">
        <f>'2. Inputs'!F35*F135</f>
        <v/>
      </c>
      <c r="G136" s="76">
        <f>'2. Inputs'!G35*G135</f>
        <v/>
      </c>
      <c r="H136" s="76">
        <f>'2. Inputs'!H35*H135</f>
        <v/>
      </c>
      <c r="I136" s="76">
        <f>'2. Inputs'!I35*I135</f>
        <v/>
      </c>
      <c r="J136" s="76">
        <f>'2. Inputs'!J35*J135</f>
        <v/>
      </c>
      <c r="K136" s="76">
        <f>'2. Inputs'!K35*K135</f>
        <v/>
      </c>
      <c r="L136" s="76">
        <f>'2. Inputs'!L35*L135</f>
        <v/>
      </c>
      <c r="M136" s="76">
        <f>'2. Inputs'!M35*M135</f>
        <v/>
      </c>
      <c r="N136" s="122" t="n"/>
      <c r="O136" s="122" t="n"/>
      <c r="P136" s="122" t="n"/>
      <c r="Q136" s="122" t="n"/>
      <c r="R136" s="122" t="n"/>
      <c r="S136" s="122" t="n"/>
      <c r="T136" s="122" t="n"/>
      <c r="U136" s="122" t="n"/>
      <c r="V136" s="122" t="n"/>
      <c r="W136" s="122" t="n"/>
      <c r="X136" s="122" t="n"/>
    </row>
    <row r="137">
      <c r="A137" s="71" t="inlineStr">
        <is>
          <t>Receita líquida (R$)</t>
        </is>
      </c>
      <c r="B137" s="122" t="n"/>
      <c r="C137" s="76" t="n"/>
      <c r="D137" s="76">
        <f>D135*(1-'2. Inputs'!D32-'2. Inputs'!D33-'2. Inputs'!D34)</f>
        <v/>
      </c>
      <c r="E137" s="76">
        <f>E135*(1-'2. Inputs'!E32-'2. Inputs'!E33-'2. Inputs'!E34)</f>
        <v/>
      </c>
      <c r="F137" s="76">
        <f>F135*(1-'2. Inputs'!F32-'2. Inputs'!F33-'2. Inputs'!F34)</f>
        <v/>
      </c>
      <c r="G137" s="76">
        <f>G135*(1-'2. Inputs'!G32-'2. Inputs'!G33-'2. Inputs'!G34)</f>
        <v/>
      </c>
      <c r="H137" s="76">
        <f>H135*(1-'2. Inputs'!H32-'2. Inputs'!H33-'2. Inputs'!H34)</f>
        <v/>
      </c>
      <c r="I137" s="76">
        <f>I135*(1-'2. Inputs'!I32-'2. Inputs'!I33-'2. Inputs'!I34)</f>
        <v/>
      </c>
      <c r="J137" s="76">
        <f>J135*(1-'2. Inputs'!J32-'2. Inputs'!J33-'2. Inputs'!J34)</f>
        <v/>
      </c>
      <c r="K137" s="76">
        <f>K135*(1-'2. Inputs'!K32-'2. Inputs'!K33-'2. Inputs'!K34)</f>
        <v/>
      </c>
      <c r="L137" s="76">
        <f>L135*(1-'2. Inputs'!L32-'2. Inputs'!L33-'2. Inputs'!L34)</f>
        <v/>
      </c>
      <c r="M137" s="76">
        <f>M135*(1-'2. Inputs'!M32-'2. Inputs'!M33-'2. Inputs'!M34)</f>
        <v/>
      </c>
      <c r="N137" s="122" t="n"/>
      <c r="O137" s="122" t="n"/>
      <c r="P137" s="122" t="n"/>
      <c r="Q137" s="122" t="n"/>
      <c r="R137" s="122" t="n"/>
      <c r="S137" s="122" t="n"/>
      <c r="T137" s="122" t="n"/>
      <c r="U137" s="122" t="n"/>
      <c r="V137" s="122" t="n"/>
      <c r="W137" s="122" t="n"/>
      <c r="X137" s="122" t="n"/>
    </row>
    <row r="138">
      <c r="A138" s="71" t="inlineStr">
        <is>
          <t>EBITDA (R$)</t>
        </is>
      </c>
      <c r="B138" s="122" t="n"/>
      <c r="C138" s="76" t="n"/>
      <c r="D138" s="76">
        <f>D137-D127-D128-D136-D129-D130-D131</f>
        <v/>
      </c>
      <c r="E138" s="76">
        <f>E137-E127-E128-E136-E129-E130-E131</f>
        <v/>
      </c>
      <c r="F138" s="76">
        <f>F137-F127-F128-F136-F129-F130-F131</f>
        <v/>
      </c>
      <c r="G138" s="76">
        <f>G137-G127-G128-G136-G129-G130-G131</f>
        <v/>
      </c>
      <c r="H138" s="76">
        <f>H137-H127-H128-H136-H129-H130-H131</f>
        <v/>
      </c>
      <c r="I138" s="76">
        <f>I137-I127-I128-I136-I129-I130-I131</f>
        <v/>
      </c>
      <c r="J138" s="76">
        <f>J137-J127-J128-J136-J129-J130-J131</f>
        <v/>
      </c>
      <c r="K138" s="76">
        <f>K137-K127-K128-K136-K129-K130-K131</f>
        <v/>
      </c>
      <c r="L138" s="76">
        <f>L137-L127-L128-L136-L129-L130-L131</f>
        <v/>
      </c>
      <c r="M138" s="76">
        <f>M137-M127-M128-M136-M129-M130-M131</f>
        <v/>
      </c>
      <c r="N138" s="122" t="n"/>
      <c r="O138" s="122" t="n"/>
      <c r="P138" s="122" t="n"/>
      <c r="Q138" s="122" t="n"/>
      <c r="R138" s="122" t="n"/>
      <c r="S138" s="122" t="n"/>
      <c r="T138" s="122" t="n"/>
      <c r="U138" s="122" t="n"/>
      <c r="V138" s="122" t="n"/>
      <c r="W138" s="122" t="n"/>
      <c r="X138" s="122" t="n"/>
    </row>
    <row r="139">
      <c r="A139" s="71" t="inlineStr">
        <is>
          <t>EBIT (R$)</t>
        </is>
      </c>
      <c r="B139" s="122" t="n"/>
      <c r="C139" s="76" t="n"/>
      <c r="D139" s="76">
        <f>D138-D132</f>
        <v/>
      </c>
      <c r="E139" s="76">
        <f>E138-E132</f>
        <v/>
      </c>
      <c r="F139" s="76">
        <f>F138-F132</f>
        <v/>
      </c>
      <c r="G139" s="76">
        <f>G138-G132</f>
        <v/>
      </c>
      <c r="H139" s="76">
        <f>H138-H132</f>
        <v/>
      </c>
      <c r="I139" s="76">
        <f>I138-I132</f>
        <v/>
      </c>
      <c r="J139" s="76">
        <f>J138-J132</f>
        <v/>
      </c>
      <c r="K139" s="76">
        <f>K138-K132</f>
        <v/>
      </c>
      <c r="L139" s="76">
        <f>L138-L132</f>
        <v/>
      </c>
      <c r="M139" s="76">
        <f>M138-M132</f>
        <v/>
      </c>
      <c r="N139" s="122" t="n"/>
      <c r="O139" s="122" t="n"/>
      <c r="P139" s="122" t="n"/>
      <c r="Q139" s="122" t="n"/>
      <c r="R139" s="122" t="n"/>
      <c r="S139" s="122" t="n"/>
      <c r="T139" s="122" t="n"/>
      <c r="U139" s="122" t="n"/>
      <c r="V139" s="122" t="n"/>
      <c r="W139" s="122" t="n"/>
      <c r="X139" s="122" t="n"/>
    </row>
    <row r="140">
      <c r="A140" s="71" t="inlineStr">
        <is>
          <t>IRPJ + adicional + CSLL (R$)</t>
        </is>
      </c>
      <c r="B140" s="122" t="n"/>
      <c r="C140" s="76" t="n"/>
      <c r="D140" s="76">
        <f>IF(D139&gt;0,'2. Inputs'!D58*D139+'2. Inputs'!D59*MAX(0,D139-'2. Inputs'!D60)+'2. Inputs'!D61*D139,0)</f>
        <v/>
      </c>
      <c r="E140" s="76">
        <f>IF(E139&gt;0,'2. Inputs'!E58*E139+'2. Inputs'!E59*MAX(0,E139-'2. Inputs'!E60)+'2. Inputs'!E61*E139,0)</f>
        <v/>
      </c>
      <c r="F140" s="76">
        <f>IF(F139&gt;0,'2. Inputs'!F58*F139+'2. Inputs'!F59*MAX(0,F139-'2. Inputs'!F60)+'2. Inputs'!F61*F139,0)</f>
        <v/>
      </c>
      <c r="G140" s="76">
        <f>IF(G139&gt;0,'2. Inputs'!G58*G139+'2. Inputs'!G59*MAX(0,G139-'2. Inputs'!G60)+'2. Inputs'!G61*G139,0)</f>
        <v/>
      </c>
      <c r="H140" s="76">
        <f>IF(H139&gt;0,'2. Inputs'!H58*H139+'2. Inputs'!H59*MAX(0,H139-'2. Inputs'!H60)+'2. Inputs'!H61*H139,0)</f>
        <v/>
      </c>
      <c r="I140" s="76">
        <f>IF(I139&gt;0,'2. Inputs'!I58*I139+'2. Inputs'!I59*MAX(0,I139-'2. Inputs'!I60)+'2. Inputs'!I61*I139,0)</f>
        <v/>
      </c>
      <c r="J140" s="76">
        <f>IF(J139&gt;0,'2. Inputs'!J58*J139+'2. Inputs'!J59*MAX(0,J139-'2. Inputs'!J60)+'2. Inputs'!J61*J139,0)</f>
        <v/>
      </c>
      <c r="K140" s="76">
        <f>IF(K139&gt;0,'2. Inputs'!K58*K139+'2. Inputs'!K59*MAX(0,K139-'2. Inputs'!K60)+'2. Inputs'!K61*K139,0)</f>
        <v/>
      </c>
      <c r="L140" s="76">
        <f>IF(L139&gt;0,'2. Inputs'!L58*L139+'2. Inputs'!L59*MAX(0,L139-'2. Inputs'!L60)+'2. Inputs'!L61*L139,0)</f>
        <v/>
      </c>
      <c r="M140" s="76">
        <f>IF(M139&gt;0,'2. Inputs'!M58*M139+'2. Inputs'!M59*MAX(0,M139-'2. Inputs'!M60)+'2. Inputs'!M61*M139,0)</f>
        <v/>
      </c>
      <c r="N140" s="122" t="n"/>
      <c r="O140" s="122" t="n"/>
      <c r="P140" s="122" t="n"/>
      <c r="Q140" s="122" t="n"/>
      <c r="R140" s="122" t="n"/>
      <c r="S140" s="122" t="n"/>
      <c r="T140" s="122" t="n"/>
      <c r="U140" s="122" t="n"/>
      <c r="V140" s="122" t="n"/>
      <c r="W140" s="122" t="n"/>
      <c r="X140" s="122" t="n"/>
    </row>
    <row r="141">
      <c r="A141" s="71" t="inlineStr">
        <is>
          <t>NOPAT (R$)</t>
        </is>
      </c>
      <c r="B141" s="122" t="n"/>
      <c r="C141" s="76" t="n"/>
      <c r="D141" s="76">
        <f>D139-D140</f>
        <v/>
      </c>
      <c r="E141" s="76">
        <f>E139-E140</f>
        <v/>
      </c>
      <c r="F141" s="76">
        <f>F139-F140</f>
        <v/>
      </c>
      <c r="G141" s="76">
        <f>G139-G140</f>
        <v/>
      </c>
      <c r="H141" s="76">
        <f>H139-H140</f>
        <v/>
      </c>
      <c r="I141" s="76">
        <f>I139-I140</f>
        <v/>
      </c>
      <c r="J141" s="76">
        <f>J139-J140</f>
        <v/>
      </c>
      <c r="K141" s="76">
        <f>K139-K140</f>
        <v/>
      </c>
      <c r="L141" s="76">
        <f>L139-L140</f>
        <v/>
      </c>
      <c r="M141" s="76">
        <f>M139-M140</f>
        <v/>
      </c>
      <c r="N141" s="122" t="n"/>
      <c r="O141" s="122" t="n"/>
      <c r="P141" s="122" t="n"/>
      <c r="Q141" s="122" t="n"/>
      <c r="R141" s="122" t="n"/>
      <c r="S141" s="122" t="n"/>
      <c r="T141" s="122" t="n"/>
      <c r="U141" s="122" t="n"/>
      <c r="V141" s="122" t="n"/>
      <c r="W141" s="122" t="n"/>
      <c r="X141" s="122" t="n"/>
    </row>
    <row r="142">
      <c r="A142" s="71" t="inlineStr">
        <is>
          <t>Capital de giro (R$)</t>
        </is>
      </c>
      <c r="B142" s="122" t="n"/>
      <c r="C142" s="76">
        <f>D142</f>
        <v/>
      </c>
      <c r="D142" s="76">
        <f>'2. Inputs'!D64/'2. Inputs'!D68*D135+'2. Inputs'!D65/'2. Inputs'!D68*(D127+D128)+'2. Inputs'!D67/'2. Inputs'!D68*(D127+D128+D136+D129+D130+D131)-'2. Inputs'!D66/'2. Inputs'!D68*(D127+D128)</f>
        <v/>
      </c>
      <c r="E142" s="76">
        <f>'2. Inputs'!E64/'2. Inputs'!E68*E135+'2. Inputs'!E65/'2. Inputs'!E68*(E127+E128)+'2. Inputs'!E67/'2. Inputs'!E68*(E127+E128+E136+E129+E130+E131)-'2. Inputs'!E66/'2. Inputs'!E68*(E127+E128)</f>
        <v/>
      </c>
      <c r="F142" s="76">
        <f>'2. Inputs'!F64/'2. Inputs'!F68*F135+'2. Inputs'!F65/'2. Inputs'!F68*(F127+F128)+'2. Inputs'!F67/'2. Inputs'!F68*(F127+F128+F136+F129+F130+F131)-'2. Inputs'!F66/'2. Inputs'!F68*(F127+F128)</f>
        <v/>
      </c>
      <c r="G142" s="76">
        <f>'2. Inputs'!G64/'2. Inputs'!G68*G135+'2. Inputs'!G65/'2. Inputs'!G68*(G127+G128)+'2. Inputs'!G67/'2. Inputs'!G68*(G127+G128+G136+G129+G130+G131)-'2. Inputs'!G66/'2. Inputs'!G68*(G127+G128)</f>
        <v/>
      </c>
      <c r="H142" s="76">
        <f>'2. Inputs'!H64/'2. Inputs'!H68*H135+'2. Inputs'!H65/'2. Inputs'!H68*(H127+H128)+'2. Inputs'!H67/'2. Inputs'!H68*(H127+H128+H136+H129+H130+H131)-'2. Inputs'!H66/'2. Inputs'!H68*(H127+H128)</f>
        <v/>
      </c>
      <c r="I142" s="76">
        <f>'2. Inputs'!I64/'2. Inputs'!I68*I135+'2. Inputs'!I65/'2. Inputs'!I68*(I127+I128)+'2. Inputs'!I67/'2. Inputs'!I68*(I127+I128+I136+I129+I130+I131)-'2. Inputs'!I66/'2. Inputs'!I68*(I127+I128)</f>
        <v/>
      </c>
      <c r="J142" s="76">
        <f>'2. Inputs'!J64/'2. Inputs'!J68*J135+'2. Inputs'!J65/'2. Inputs'!J68*(J127+J128)+'2. Inputs'!J67/'2. Inputs'!J68*(J127+J128+J136+J129+J130+J131)-'2. Inputs'!J66/'2. Inputs'!J68*(J127+J128)</f>
        <v/>
      </c>
      <c r="K142" s="76">
        <f>'2. Inputs'!K64/'2. Inputs'!K68*K135+'2. Inputs'!K65/'2. Inputs'!K68*(K127+K128)+'2. Inputs'!K67/'2. Inputs'!K68*(K127+K128+K136+K129+K130+K131)-'2. Inputs'!K66/'2. Inputs'!K68*(K127+K128)</f>
        <v/>
      </c>
      <c r="L142" s="76">
        <f>'2. Inputs'!L64/'2. Inputs'!L68*L135+'2. Inputs'!L65/'2. Inputs'!L68*(L127+L128)+'2. Inputs'!L67/'2. Inputs'!L68*(L127+L128+L136+L129+L130+L131)-'2. Inputs'!L66/'2. Inputs'!L68*(L127+L128)</f>
        <v/>
      </c>
      <c r="M142" s="76">
        <f>'2. Inputs'!M64/'2. Inputs'!M68*M135+'2. Inputs'!M65/'2. Inputs'!M68*(M127+M128)+'2. Inputs'!M67/'2. Inputs'!M68*(M127+M128+M136+M129+M130+M131)-'2. Inputs'!M66/'2. Inputs'!M68*(M127+M128)</f>
        <v/>
      </c>
      <c r="N142" s="122" t="n"/>
      <c r="O142" s="122" t="n"/>
      <c r="P142" s="122" t="n"/>
      <c r="Q142" s="122" t="n"/>
      <c r="R142" s="122" t="n"/>
      <c r="S142" s="122" t="n"/>
      <c r="T142" s="122" t="n"/>
      <c r="U142" s="122" t="n"/>
      <c r="V142" s="122" t="n"/>
      <c r="W142" s="122" t="n"/>
      <c r="X142" s="122" t="n"/>
    </row>
    <row r="143">
      <c r="A143" s="71" t="inlineStr">
        <is>
          <t>Δ capital de giro (R$)</t>
        </is>
      </c>
      <c r="B143" s="122" t="n"/>
      <c r="C143" s="76">
        <f>C142</f>
        <v/>
      </c>
      <c r="D143" s="76">
        <f>D142-C142</f>
        <v/>
      </c>
      <c r="E143" s="76">
        <f>E142-D142</f>
        <v/>
      </c>
      <c r="F143" s="76">
        <f>F142-E142</f>
        <v/>
      </c>
      <c r="G143" s="76">
        <f>G142-F142</f>
        <v/>
      </c>
      <c r="H143" s="76">
        <f>H142-G142</f>
        <v/>
      </c>
      <c r="I143" s="76">
        <f>I142-H142</f>
        <v/>
      </c>
      <c r="J143" s="76">
        <f>J142-I142</f>
        <v/>
      </c>
      <c r="K143" s="76">
        <f>K142-J142</f>
        <v/>
      </c>
      <c r="L143" s="76">
        <f>L142-K142</f>
        <v/>
      </c>
      <c r="M143" s="76">
        <f>M142-L142</f>
        <v/>
      </c>
      <c r="N143" s="122" t="n"/>
      <c r="O143" s="122" t="n"/>
      <c r="P143" s="122" t="n"/>
      <c r="Q143" s="122" t="n"/>
      <c r="R143" s="122" t="n"/>
      <c r="S143" s="122" t="n"/>
      <c r="T143" s="122" t="n"/>
      <c r="U143" s="122" t="n"/>
      <c r="V143" s="122" t="n"/>
      <c r="W143" s="122" t="n"/>
      <c r="X143" s="122" t="n"/>
    </row>
    <row r="144">
      <c r="A144" s="71" t="inlineStr">
        <is>
          <t>Fluxo de caixa livre (R$)</t>
        </is>
      </c>
      <c r="B144" s="122" t="n"/>
      <c r="C144" s="83">
        <f>-C143-'2. Inputs'!C53</f>
        <v/>
      </c>
      <c r="D144" s="83">
        <f>D141+D132-D143-'2. Inputs'!D53+IF(D$122=10,D142,0)</f>
        <v/>
      </c>
      <c r="E144" s="83">
        <f>E141+E132-E143-'2. Inputs'!E53+IF(E$122=10,E142,0)</f>
        <v/>
      </c>
      <c r="F144" s="83">
        <f>F141+F132-F143-'2. Inputs'!F53+IF(F$122=10,F142,0)</f>
        <v/>
      </c>
      <c r="G144" s="83">
        <f>G141+G132-G143-'2. Inputs'!G53+IF(G$122=10,G142,0)</f>
        <v/>
      </c>
      <c r="H144" s="83">
        <f>H141+H132-H143-'2. Inputs'!H53+IF(H$122=10,H142,0)</f>
        <v/>
      </c>
      <c r="I144" s="83">
        <f>I141+I132-I143-'2. Inputs'!I53+IF(I$122=10,I142,0)</f>
        <v/>
      </c>
      <c r="J144" s="83">
        <f>J141+J132-J143-'2. Inputs'!J53+IF(J$122=10,J142,0)</f>
        <v/>
      </c>
      <c r="K144" s="83">
        <f>K141+K132-K143-'2. Inputs'!K53+IF(K$122=10,K142,0)</f>
        <v/>
      </c>
      <c r="L144" s="83">
        <f>L141+L132-L143-'2. Inputs'!L53+IF(L$122=10,L142,0)</f>
        <v/>
      </c>
      <c r="M144" s="83">
        <f>M141+M132-M143-'2. Inputs'!M53+IF(M$122=10,M142,0)</f>
        <v/>
      </c>
      <c r="N144" s="84">
        <f>C144/(1+'2. Inputs'!$C$81)^C122</f>
        <v/>
      </c>
      <c r="O144" s="84">
        <f>N144+D144/(1+'2. Inputs'!$C$81)^D122</f>
        <v/>
      </c>
      <c r="P144" s="84">
        <f>O144+E144/(1+'2. Inputs'!$C$81)^E122</f>
        <v/>
      </c>
      <c r="Q144" s="84">
        <f>P144+F144/(1+'2. Inputs'!$C$81)^F122</f>
        <v/>
      </c>
      <c r="R144" s="84">
        <f>Q144+G144/(1+'2. Inputs'!$C$81)^G122</f>
        <v/>
      </c>
      <c r="S144" s="84">
        <f>R144+H144/(1+'2. Inputs'!$C$81)^H122</f>
        <v/>
      </c>
      <c r="T144" s="84">
        <f>S144+I144/(1+'2. Inputs'!$C$81)^I122</f>
        <v/>
      </c>
      <c r="U144" s="84">
        <f>T144+J144/(1+'2. Inputs'!$C$81)^J122</f>
        <v/>
      </c>
      <c r="V144" s="84">
        <f>U144+K144/(1+'2. Inputs'!$C$81)^K122</f>
        <v/>
      </c>
      <c r="W144" s="84">
        <f>V144+L144/(1+'2. Inputs'!$C$81)^L122</f>
        <v/>
      </c>
      <c r="X144" s="84">
        <f>W144+M144/(1+'2. Inputs'!$C$81)^M122</f>
        <v/>
      </c>
    </row>
    <row r="145">
      <c r="A145" s="122" t="n"/>
      <c r="B145" s="122" t="n"/>
      <c r="C145" s="122" t="n"/>
      <c r="D145" s="122" t="n"/>
      <c r="E145" s="122" t="n"/>
      <c r="F145" s="122" t="n"/>
      <c r="G145" s="122" t="n"/>
      <c r="H145" s="122" t="n"/>
      <c r="I145" s="122" t="n"/>
      <c r="J145" s="122" t="n"/>
      <c r="K145" s="122" t="n"/>
      <c r="L145" s="122" t="n"/>
      <c r="M145" s="122" t="n"/>
      <c r="N145" s="122" t="n"/>
      <c r="O145" s="122" t="n"/>
      <c r="P145" s="122" t="n"/>
      <c r="Q145" s="122" t="n"/>
      <c r="R145" s="122" t="n"/>
      <c r="S145" s="122" t="n"/>
      <c r="T145" s="122" t="n"/>
      <c r="U145" s="122" t="n"/>
      <c r="V145" s="122" t="n"/>
      <c r="W145" s="122" t="n"/>
      <c r="X145" s="122" t="n"/>
    </row>
    <row r="146">
      <c r="A146" s="15" t="inlineStr">
        <is>
          <t>CORRIDA 6 — Margem-alvo −3 p.p.</t>
        </is>
      </c>
      <c r="B146" s="126" t="n"/>
      <c r="C146" s="126" t="n"/>
      <c r="D146" s="126" t="n"/>
      <c r="E146" s="126" t="n"/>
      <c r="F146" s="126" t="n"/>
      <c r="G146" s="126" t="n"/>
      <c r="H146" s="126" t="n"/>
      <c r="I146" s="126" t="n"/>
      <c r="J146" s="126" t="n"/>
      <c r="K146" s="126" t="n"/>
      <c r="L146" s="126" t="n"/>
      <c r="M146" s="126" t="n"/>
      <c r="N146" s="122" t="n"/>
      <c r="O146" s="122" t="n"/>
      <c r="P146" s="122" t="n"/>
      <c r="Q146" s="122" t="n"/>
      <c r="R146" s="122" t="n"/>
      <c r="S146" s="122" t="n"/>
      <c r="T146" s="122" t="n"/>
      <c r="U146" s="122" t="n"/>
      <c r="V146" s="122" t="n"/>
      <c r="W146" s="122" t="n"/>
      <c r="X146" s="122" t="n"/>
    </row>
    <row r="147">
      <c r="A147" s="78" t="inlineStr">
        <is>
          <t>Ano</t>
        </is>
      </c>
      <c r="B147" s="122" t="n"/>
      <c r="C147" s="79" t="n">
        <v>0</v>
      </c>
      <c r="D147" s="79" t="n">
        <v>1</v>
      </c>
      <c r="E147" s="79" t="n">
        <v>2</v>
      </c>
      <c r="F147" s="79" t="n">
        <v>3</v>
      </c>
      <c r="G147" s="79" t="n">
        <v>4</v>
      </c>
      <c r="H147" s="79" t="n">
        <v>5</v>
      </c>
      <c r="I147" s="79" t="n">
        <v>6</v>
      </c>
      <c r="J147" s="79" t="n">
        <v>7</v>
      </c>
      <c r="K147" s="79" t="n">
        <v>8</v>
      </c>
      <c r="L147" s="79" t="n">
        <v>9</v>
      </c>
      <c r="M147" s="79" t="n">
        <v>10</v>
      </c>
      <c r="N147" s="122" t="n"/>
      <c r="O147" s="122" t="n"/>
      <c r="P147" s="122" t="n"/>
      <c r="Q147" s="122" t="n"/>
      <c r="R147" s="122" t="n"/>
      <c r="S147" s="122" t="n"/>
      <c r="T147" s="122" t="n"/>
      <c r="U147" s="122" t="n"/>
      <c r="V147" s="122" t="n"/>
      <c r="W147" s="122" t="n"/>
      <c r="X147" s="122" t="n"/>
    </row>
    <row r="148">
      <c r="A148" s="71" t="inlineStr">
        <is>
          <t>Volume (un)</t>
        </is>
      </c>
      <c r="B148" s="122" t="n"/>
      <c r="C148" s="76" t="n"/>
      <c r="D148" s="76">
        <f>'2. Inputs'!D11*(1+$C$12)</f>
        <v/>
      </c>
      <c r="E148" s="76">
        <f>'2. Inputs'!E11*(1+$C$12)</f>
        <v/>
      </c>
      <c r="F148" s="76">
        <f>'2. Inputs'!F11*(1+$C$12)</f>
        <v/>
      </c>
      <c r="G148" s="76">
        <f>'2. Inputs'!G11*(1+$C$12)</f>
        <v/>
      </c>
      <c r="H148" s="76">
        <f>'2. Inputs'!H11*(1+$C$12)</f>
        <v/>
      </c>
      <c r="I148" s="76">
        <f>'2. Inputs'!I11*(1+$C$12)</f>
        <v/>
      </c>
      <c r="J148" s="76">
        <f>'2. Inputs'!J11*(1+$C$12)</f>
        <v/>
      </c>
      <c r="K148" s="76">
        <f>'2. Inputs'!K11*(1+$C$12)</f>
        <v/>
      </c>
      <c r="L148" s="76">
        <f>'2. Inputs'!L11*(1+$C$12)</f>
        <v/>
      </c>
      <c r="M148" s="76">
        <f>'2. Inputs'!M11*(1+$C$12)</f>
        <v/>
      </c>
      <c r="N148" s="122" t="n"/>
      <c r="O148" s="122" t="n"/>
      <c r="P148" s="122" t="n"/>
      <c r="Q148" s="122" t="n"/>
      <c r="R148" s="122" t="n"/>
      <c r="S148" s="122" t="n"/>
      <c r="T148" s="122" t="n"/>
      <c r="U148" s="122" t="n"/>
      <c r="V148" s="122" t="n"/>
      <c r="W148" s="122" t="n"/>
      <c r="X148" s="122" t="n"/>
    </row>
    <row r="149">
      <c r="A149" s="71" t="inlineStr">
        <is>
          <t>Frete unitário (R$/un)</t>
        </is>
      </c>
      <c r="B149" s="80">
        <f>('2. Inputs'!D25*'2. Inputs'!$C$96+'2. Inputs'!D26*'2. Inputs'!$C$97+'2. Inputs'!D27*'2. Inputs'!$C$98+'2. Inputs'!D28*'2. Inputs'!$C$99)/'2. Inputs'!$C$100</f>
        <v/>
      </c>
      <c r="C149" s="81" t="n"/>
      <c r="D149" s="81">
        <f>$G$12*'2. Inputs'!D24+(1-$G$12)*$B$149</f>
        <v/>
      </c>
      <c r="E149" s="81">
        <f>$G$12*'2. Inputs'!E24+(1-$G$12)*$B$149</f>
        <v/>
      </c>
      <c r="F149" s="81">
        <f>$G$12*'2. Inputs'!F24+(1-$G$12)*$B$149</f>
        <v/>
      </c>
      <c r="G149" s="81">
        <f>$G$12*'2. Inputs'!G24+(1-$G$12)*$B$149</f>
        <v/>
      </c>
      <c r="H149" s="81">
        <f>$G$12*'2. Inputs'!H24+(1-$G$12)*$B$149</f>
        <v/>
      </c>
      <c r="I149" s="81">
        <f>$G$12*'2. Inputs'!I24+(1-$G$12)*$B$149</f>
        <v/>
      </c>
      <c r="J149" s="81">
        <f>$G$12*'2. Inputs'!J24+(1-$G$12)*$B$149</f>
        <v/>
      </c>
      <c r="K149" s="81">
        <f>$G$12*'2. Inputs'!K24+(1-$G$12)*$B$149</f>
        <v/>
      </c>
      <c r="L149" s="81">
        <f>$G$12*'2. Inputs'!L24+(1-$G$12)*$B$149</f>
        <v/>
      </c>
      <c r="M149" s="81">
        <f>$G$12*'2. Inputs'!M24+(1-$G$12)*$B$149</f>
        <v/>
      </c>
      <c r="N149" s="122" t="n"/>
      <c r="O149" s="2" t="inlineStr">
        <is>
          <t>Coluna B: frete unitário médio fora do Sudeste, nas proporções da origem (Sul 5%, NE 3%, N 2%, CO 10%).</t>
        </is>
      </c>
      <c r="P149" s="122" t="n"/>
      <c r="Q149" s="122" t="n"/>
      <c r="R149" s="122" t="n"/>
      <c r="S149" s="122" t="n"/>
      <c r="T149" s="122" t="n"/>
      <c r="U149" s="122" t="n"/>
      <c r="V149" s="122" t="n"/>
      <c r="W149" s="122" t="n"/>
      <c r="X149" s="122" t="n"/>
    </row>
    <row r="150">
      <c r="A150" s="71" t="inlineStr">
        <is>
          <t>Custo variável unitário (R$/un)</t>
        </is>
      </c>
      <c r="B150" s="122" t="n"/>
      <c r="C150" s="82" t="n"/>
      <c r="D150" s="82">
        <f>'2. Inputs'!D43*(1+$E$12)</f>
        <v/>
      </c>
      <c r="E150" s="82">
        <f>'2. Inputs'!E43*(1+$E$12)</f>
        <v/>
      </c>
      <c r="F150" s="82">
        <f>'2. Inputs'!F43*(1+$E$12)</f>
        <v/>
      </c>
      <c r="G150" s="82">
        <f>'2. Inputs'!G43*(1+$E$12)</f>
        <v/>
      </c>
      <c r="H150" s="82">
        <f>'2. Inputs'!H43*(1+$E$12)</f>
        <v/>
      </c>
      <c r="I150" s="82">
        <f>'2. Inputs'!I43*(1+$E$12)</f>
        <v/>
      </c>
      <c r="J150" s="82">
        <f>'2. Inputs'!J43*(1+$E$12)</f>
        <v/>
      </c>
      <c r="K150" s="82">
        <f>'2. Inputs'!K43*(1+$E$12)</f>
        <v/>
      </c>
      <c r="L150" s="82">
        <f>'2. Inputs'!L43*(1+$E$12)</f>
        <v/>
      </c>
      <c r="M150" s="82">
        <f>'2. Inputs'!M43*(1+$E$12)</f>
        <v/>
      </c>
      <c r="N150" s="122" t="n"/>
      <c r="O150" s="122" t="n"/>
      <c r="P150" s="122" t="n"/>
      <c r="Q150" s="122" t="n"/>
      <c r="R150" s="122" t="n"/>
      <c r="S150" s="122" t="n"/>
      <c r="T150" s="122" t="n"/>
      <c r="U150" s="122" t="n"/>
      <c r="V150" s="122" t="n"/>
      <c r="W150" s="122" t="n"/>
      <c r="X150" s="122" t="n"/>
    </row>
    <row r="151">
      <c r="A151" s="71" t="inlineStr">
        <is>
          <t>Markup total (%)</t>
        </is>
      </c>
      <c r="B151" s="122" t="n"/>
      <c r="C151" s="72" t="n"/>
      <c r="D151" s="72">
        <f>'2. Inputs'!D32+'2. Inputs'!D33+'2. Inputs'!D34+'2. Inputs'!D35+'2. Inputs'!D36+$D$12</f>
        <v/>
      </c>
      <c r="E151" s="72">
        <f>'2. Inputs'!E32+'2. Inputs'!E33+'2. Inputs'!E34+'2. Inputs'!E35+'2. Inputs'!E36+$D$12</f>
        <v/>
      </c>
      <c r="F151" s="72">
        <f>'2. Inputs'!F32+'2. Inputs'!F33+'2. Inputs'!F34+'2. Inputs'!F35+'2. Inputs'!F36+$D$12</f>
        <v/>
      </c>
      <c r="G151" s="72">
        <f>'2. Inputs'!G32+'2. Inputs'!G33+'2. Inputs'!G34+'2. Inputs'!G35+'2. Inputs'!G36+$D$12</f>
        <v/>
      </c>
      <c r="H151" s="72">
        <f>'2. Inputs'!H32+'2. Inputs'!H33+'2. Inputs'!H34+'2. Inputs'!H35+'2. Inputs'!H36+$D$12</f>
        <v/>
      </c>
      <c r="I151" s="72">
        <f>'2. Inputs'!I32+'2. Inputs'!I33+'2. Inputs'!I34+'2. Inputs'!I35+'2. Inputs'!I36+$D$12</f>
        <v/>
      </c>
      <c r="J151" s="72">
        <f>'2. Inputs'!J32+'2. Inputs'!J33+'2. Inputs'!J34+'2. Inputs'!J35+'2. Inputs'!J36+$D$12</f>
        <v/>
      </c>
      <c r="K151" s="72">
        <f>'2. Inputs'!K32+'2. Inputs'!K33+'2. Inputs'!K34+'2. Inputs'!K35+'2. Inputs'!K36+$D$12</f>
        <v/>
      </c>
      <c r="L151" s="72">
        <f>'2. Inputs'!L32+'2. Inputs'!L33+'2. Inputs'!L34+'2. Inputs'!L35+'2. Inputs'!L36+$D$12</f>
        <v/>
      </c>
      <c r="M151" s="72">
        <f>'2. Inputs'!M32+'2. Inputs'!M33+'2. Inputs'!M34+'2. Inputs'!M35+'2. Inputs'!M36+$D$12</f>
        <v/>
      </c>
      <c r="N151" s="122" t="n"/>
      <c r="O151" s="122" t="n"/>
      <c r="P151" s="122" t="n"/>
      <c r="Q151" s="122" t="n"/>
      <c r="R151" s="122" t="n"/>
      <c r="S151" s="122" t="n"/>
      <c r="T151" s="122" t="n"/>
      <c r="U151" s="122" t="n"/>
      <c r="V151" s="122" t="n"/>
      <c r="W151" s="122" t="n"/>
      <c r="X151" s="122" t="n"/>
    </row>
    <row r="152">
      <c r="A152" s="71" t="inlineStr">
        <is>
          <t>Custo variável (R$)</t>
        </is>
      </c>
      <c r="B152" s="122" t="n"/>
      <c r="C152" s="76" t="n"/>
      <c r="D152" s="76">
        <f>D148*D150</f>
        <v/>
      </c>
      <c r="E152" s="76">
        <f>E148*E150</f>
        <v/>
      </c>
      <c r="F152" s="76">
        <f>F148*F150</f>
        <v/>
      </c>
      <c r="G152" s="76">
        <f>G148*G150</f>
        <v/>
      </c>
      <c r="H152" s="76">
        <f>H148*H150</f>
        <v/>
      </c>
      <c r="I152" s="76">
        <f>I148*I150</f>
        <v/>
      </c>
      <c r="J152" s="76">
        <f>J148*J150</f>
        <v/>
      </c>
      <c r="K152" s="76">
        <f>K148*K150</f>
        <v/>
      </c>
      <c r="L152" s="76">
        <f>L148*L150</f>
        <v/>
      </c>
      <c r="M152" s="76">
        <f>M148*M150</f>
        <v/>
      </c>
      <c r="N152" s="122" t="n"/>
      <c r="O152" s="122" t="n"/>
      <c r="P152" s="122" t="n"/>
      <c r="Q152" s="122" t="n"/>
      <c r="R152" s="122" t="n"/>
      <c r="S152" s="122" t="n"/>
      <c r="T152" s="122" t="n"/>
      <c r="U152" s="122" t="n"/>
      <c r="V152" s="122" t="n"/>
      <c r="W152" s="122" t="n"/>
      <c r="X152" s="122" t="n"/>
    </row>
    <row r="153">
      <c r="A153" s="71" t="inlineStr">
        <is>
          <t>Frete (R$)</t>
        </is>
      </c>
      <c r="B153" s="122" t="n"/>
      <c r="C153" s="76" t="n"/>
      <c r="D153" s="76">
        <f>D148*D149</f>
        <v/>
      </c>
      <c r="E153" s="76">
        <f>E148*E149</f>
        <v/>
      </c>
      <c r="F153" s="76">
        <f>F148*F149</f>
        <v/>
      </c>
      <c r="G153" s="76">
        <f>G148*G149</f>
        <v/>
      </c>
      <c r="H153" s="76">
        <f>H148*H149</f>
        <v/>
      </c>
      <c r="I153" s="76">
        <f>I148*I149</f>
        <v/>
      </c>
      <c r="J153" s="76">
        <f>J148*J149</f>
        <v/>
      </c>
      <c r="K153" s="76">
        <f>K148*K149</f>
        <v/>
      </c>
      <c r="L153" s="76">
        <f>L148*L149</f>
        <v/>
      </c>
      <c r="M153" s="76">
        <f>M148*M149</f>
        <v/>
      </c>
      <c r="N153" s="122" t="n"/>
      <c r="O153" s="122" t="n"/>
      <c r="P153" s="122" t="n"/>
      <c r="Q153" s="122" t="n"/>
      <c r="R153" s="122" t="n"/>
      <c r="S153" s="122" t="n"/>
      <c r="T153" s="122" t="n"/>
      <c r="U153" s="122" t="n"/>
      <c r="V153" s="122" t="n"/>
      <c r="W153" s="122" t="n"/>
      <c r="X153" s="122" t="n"/>
    </row>
    <row r="154">
      <c r="A154" s="71" t="inlineStr">
        <is>
          <t>Custo fixo de estrutura (R$)</t>
        </is>
      </c>
      <c r="B154" s="122" t="n"/>
      <c r="C154" s="76" t="n"/>
      <c r="D154" s="76">
        <f>'2. Inputs'!D46</f>
        <v/>
      </c>
      <c r="E154" s="76">
        <f>'2. Inputs'!E46</f>
        <v/>
      </c>
      <c r="F154" s="76">
        <f>'2. Inputs'!F46</f>
        <v/>
      </c>
      <c r="G154" s="76">
        <f>'2. Inputs'!G46</f>
        <v/>
      </c>
      <c r="H154" s="76">
        <f>'2. Inputs'!H46</f>
        <v/>
      </c>
      <c r="I154" s="76">
        <f>'2. Inputs'!I46</f>
        <v/>
      </c>
      <c r="J154" s="76">
        <f>'2. Inputs'!J46</f>
        <v/>
      </c>
      <c r="K154" s="76">
        <f>'2. Inputs'!K46</f>
        <v/>
      </c>
      <c r="L154" s="76">
        <f>'2. Inputs'!L46</f>
        <v/>
      </c>
      <c r="M154" s="76">
        <f>'2. Inputs'!M46</f>
        <v/>
      </c>
      <c r="N154" s="122" t="n"/>
      <c r="O154" s="122" t="n"/>
      <c r="P154" s="122" t="n"/>
      <c r="Q154" s="122" t="n"/>
      <c r="R154" s="122" t="n"/>
      <c r="S154" s="122" t="n"/>
      <c r="T154" s="122" t="n"/>
      <c r="U154" s="122" t="n"/>
      <c r="V154" s="122" t="n"/>
      <c r="W154" s="122" t="n"/>
      <c r="X154" s="122" t="n"/>
    </row>
    <row r="155">
      <c r="A155" s="71" t="inlineStr">
        <is>
          <t>Manutenção e seguro (R$)</t>
        </is>
      </c>
      <c r="B155" s="122" t="n"/>
      <c r="C155" s="76" t="n"/>
      <c r="D155" s="76">
        <f>('2. Inputs'!D47+'2. Inputs'!D48)*'2. Inputs'!D54</f>
        <v/>
      </c>
      <c r="E155" s="76">
        <f>('2. Inputs'!E47+'2. Inputs'!E48)*'2. Inputs'!E54</f>
        <v/>
      </c>
      <c r="F155" s="76">
        <f>('2. Inputs'!F47+'2. Inputs'!F48)*'2. Inputs'!F54</f>
        <v/>
      </c>
      <c r="G155" s="76">
        <f>('2. Inputs'!G47+'2. Inputs'!G48)*'2. Inputs'!G54</f>
        <v/>
      </c>
      <c r="H155" s="76">
        <f>('2. Inputs'!H47+'2. Inputs'!H48)*'2. Inputs'!H54</f>
        <v/>
      </c>
      <c r="I155" s="76">
        <f>('2. Inputs'!I47+'2. Inputs'!I48)*'2. Inputs'!I54</f>
        <v/>
      </c>
      <c r="J155" s="76">
        <f>('2. Inputs'!J47+'2. Inputs'!J48)*'2. Inputs'!J54</f>
        <v/>
      </c>
      <c r="K155" s="76">
        <f>('2. Inputs'!K47+'2. Inputs'!K48)*'2. Inputs'!K54</f>
        <v/>
      </c>
      <c r="L155" s="76">
        <f>('2. Inputs'!L47+'2. Inputs'!L48)*'2. Inputs'!L54</f>
        <v/>
      </c>
      <c r="M155" s="76">
        <f>('2. Inputs'!M47+'2. Inputs'!M48)*'2. Inputs'!M54</f>
        <v/>
      </c>
      <c r="N155" s="122" t="n"/>
      <c r="O155" s="122" t="n"/>
      <c r="P155" s="122" t="n"/>
      <c r="Q155" s="122" t="n"/>
      <c r="R155" s="122" t="n"/>
      <c r="S155" s="122" t="n"/>
      <c r="T155" s="122" t="n"/>
      <c r="U155" s="122" t="n"/>
      <c r="V155" s="122" t="n"/>
      <c r="W155" s="122" t="n"/>
      <c r="X155" s="122" t="n"/>
    </row>
    <row r="156">
      <c r="A156" s="71" t="inlineStr">
        <is>
          <t>Contingência (R$)</t>
        </is>
      </c>
      <c r="B156" s="122" t="n"/>
      <c r="C156" s="76" t="n"/>
      <c r="D156" s="76">
        <f>$F$12*'2. Inputs'!D54</f>
        <v/>
      </c>
      <c r="E156" s="76">
        <f>$F$12*'2. Inputs'!E54</f>
        <v/>
      </c>
      <c r="F156" s="76">
        <f>$F$12*'2. Inputs'!F54</f>
        <v/>
      </c>
      <c r="G156" s="76">
        <f>$F$12*'2. Inputs'!G54</f>
        <v/>
      </c>
      <c r="H156" s="76">
        <f>$F$12*'2. Inputs'!H54</f>
        <v/>
      </c>
      <c r="I156" s="76">
        <f>$F$12*'2. Inputs'!I54</f>
        <v/>
      </c>
      <c r="J156" s="76">
        <f>$F$12*'2. Inputs'!J54</f>
        <v/>
      </c>
      <c r="K156" s="76">
        <f>$F$12*'2. Inputs'!K54</f>
        <v/>
      </c>
      <c r="L156" s="76">
        <f>$F$12*'2. Inputs'!L54</f>
        <v/>
      </c>
      <c r="M156" s="76">
        <f>$F$12*'2. Inputs'!M54</f>
        <v/>
      </c>
      <c r="N156" s="122" t="n"/>
      <c r="O156" s="122" t="n"/>
      <c r="P156" s="122" t="n"/>
      <c r="Q156" s="122" t="n"/>
      <c r="R156" s="122" t="n"/>
      <c r="S156" s="122" t="n"/>
      <c r="T156" s="122" t="n"/>
      <c r="U156" s="122" t="n"/>
      <c r="V156" s="122" t="n"/>
      <c r="W156" s="122" t="n"/>
      <c r="X156" s="122" t="n"/>
    </row>
    <row r="157">
      <c r="A157" s="71" t="inlineStr">
        <is>
          <t>Depreciação (R$)</t>
        </is>
      </c>
      <c r="B157" s="122" t="n"/>
      <c r="C157" s="76" t="n"/>
      <c r="D157" s="76">
        <f>'3. Depreciacao'!D31</f>
        <v/>
      </c>
      <c r="E157" s="76">
        <f>'3. Depreciacao'!E31</f>
        <v/>
      </c>
      <c r="F157" s="76">
        <f>'3. Depreciacao'!F31</f>
        <v/>
      </c>
      <c r="G157" s="76">
        <f>'3. Depreciacao'!G31</f>
        <v/>
      </c>
      <c r="H157" s="76">
        <f>'3. Depreciacao'!H31</f>
        <v/>
      </c>
      <c r="I157" s="76">
        <f>'3. Depreciacao'!I31</f>
        <v/>
      </c>
      <c r="J157" s="76">
        <f>'3. Depreciacao'!J31</f>
        <v/>
      </c>
      <c r="K157" s="76">
        <f>'3. Depreciacao'!K31</f>
        <v/>
      </c>
      <c r="L157" s="76">
        <f>'3. Depreciacao'!L31</f>
        <v/>
      </c>
      <c r="M157" s="76">
        <f>'3. Depreciacao'!M31</f>
        <v/>
      </c>
      <c r="N157" s="122" t="n"/>
      <c r="O157" s="122" t="n"/>
      <c r="P157" s="122" t="n"/>
      <c r="Q157" s="122" t="n"/>
      <c r="R157" s="122" t="n"/>
      <c r="S157" s="122" t="n"/>
      <c r="T157" s="122" t="n"/>
      <c r="U157" s="122" t="n"/>
      <c r="V157" s="122" t="n"/>
      <c r="W157" s="122" t="n"/>
      <c r="X157" s="122" t="n"/>
    </row>
    <row r="158">
      <c r="A158" s="71" t="inlineStr">
        <is>
          <t>Custo total (R$)</t>
        </is>
      </c>
      <c r="B158" s="122" t="n"/>
      <c r="C158" s="76" t="n"/>
      <c r="D158" s="76">
        <f>SUM(D152:D157)</f>
        <v/>
      </c>
      <c r="E158" s="76">
        <f>SUM(E152:E157)</f>
        <v/>
      </c>
      <c r="F158" s="76">
        <f>SUM(F152:F157)</f>
        <v/>
      </c>
      <c r="G158" s="76">
        <f>SUM(G152:G157)</f>
        <v/>
      </c>
      <c r="H158" s="76">
        <f>SUM(H152:H157)</f>
        <v/>
      </c>
      <c r="I158" s="76">
        <f>SUM(I152:I157)</f>
        <v/>
      </c>
      <c r="J158" s="76">
        <f>SUM(J152:J157)</f>
        <v/>
      </c>
      <c r="K158" s="76">
        <f>SUM(K152:K157)</f>
        <v/>
      </c>
      <c r="L158" s="76">
        <f>SUM(L152:L157)</f>
        <v/>
      </c>
      <c r="M158" s="76">
        <f>SUM(M152:M157)</f>
        <v/>
      </c>
      <c r="N158" s="122" t="n"/>
      <c r="O158" s="122" t="n"/>
      <c r="P158" s="122" t="n"/>
      <c r="Q158" s="122" t="n"/>
      <c r="R158" s="122" t="n"/>
      <c r="S158" s="122" t="n"/>
      <c r="T158" s="122" t="n"/>
      <c r="U158" s="122" t="n"/>
      <c r="V158" s="122" t="n"/>
      <c r="W158" s="122" t="n"/>
      <c r="X158" s="122" t="n"/>
    </row>
    <row r="159">
      <c r="A159" s="71" t="inlineStr">
        <is>
          <t>Preço bruto unitário (R$/un)</t>
        </is>
      </c>
      <c r="B159" s="122" t="n"/>
      <c r="C159" s="82" t="n"/>
      <c r="D159" s="82">
        <f>IF('2. Inputs'!$C$38=1,D158/D148/(1-D151),'2. Inputs'!D39)</f>
        <v/>
      </c>
      <c r="E159" s="82">
        <f>IF('2. Inputs'!$C$38=1,E158/E148/(1-E151),'2. Inputs'!E39)</f>
        <v/>
      </c>
      <c r="F159" s="82">
        <f>IF('2. Inputs'!$C$38=1,F158/F148/(1-F151),'2. Inputs'!F39)</f>
        <v/>
      </c>
      <c r="G159" s="82">
        <f>IF('2. Inputs'!$C$38=1,G158/G148/(1-G151),'2. Inputs'!G39)</f>
        <v/>
      </c>
      <c r="H159" s="82">
        <f>IF('2. Inputs'!$C$38=1,H158/H148/(1-H151),'2. Inputs'!H39)</f>
        <v/>
      </c>
      <c r="I159" s="82">
        <f>IF('2. Inputs'!$C$38=1,I158/I148/(1-I151),'2. Inputs'!I39)</f>
        <v/>
      </c>
      <c r="J159" s="82">
        <f>IF('2. Inputs'!$C$38=1,J158/J148/(1-J151),'2. Inputs'!J39)</f>
        <v/>
      </c>
      <c r="K159" s="82">
        <f>IF('2. Inputs'!$C$38=1,K158/K148/(1-K151),'2. Inputs'!K39)</f>
        <v/>
      </c>
      <c r="L159" s="82">
        <f>IF('2. Inputs'!$C$38=1,L158/L148/(1-L151),'2. Inputs'!L39)</f>
        <v/>
      </c>
      <c r="M159" s="82">
        <f>IF('2. Inputs'!$C$38=1,M158/M148/(1-M151),'2. Inputs'!M39)</f>
        <v/>
      </c>
      <c r="N159" s="122" t="n"/>
      <c r="O159" s="122" t="n"/>
      <c r="P159" s="122" t="n"/>
      <c r="Q159" s="122" t="n"/>
      <c r="R159" s="122" t="n"/>
      <c r="S159" s="122" t="n"/>
      <c r="T159" s="122" t="n"/>
      <c r="U159" s="122" t="n"/>
      <c r="V159" s="122" t="n"/>
      <c r="W159" s="122" t="n"/>
      <c r="X159" s="122" t="n"/>
    </row>
    <row r="160">
      <c r="A160" s="71" t="inlineStr">
        <is>
          <t>Receita bruta (R$)</t>
        </is>
      </c>
      <c r="B160" s="122" t="n"/>
      <c r="C160" s="76" t="n"/>
      <c r="D160" s="76">
        <f>D148*D159</f>
        <v/>
      </c>
      <c r="E160" s="76">
        <f>E148*E159</f>
        <v/>
      </c>
      <c r="F160" s="76">
        <f>F148*F159</f>
        <v/>
      </c>
      <c r="G160" s="76">
        <f>G148*G159</f>
        <v/>
      </c>
      <c r="H160" s="76">
        <f>H148*H159</f>
        <v/>
      </c>
      <c r="I160" s="76">
        <f>I148*I159</f>
        <v/>
      </c>
      <c r="J160" s="76">
        <f>J148*J159</f>
        <v/>
      </c>
      <c r="K160" s="76">
        <f>K148*K159</f>
        <v/>
      </c>
      <c r="L160" s="76">
        <f>L148*L159</f>
        <v/>
      </c>
      <c r="M160" s="76">
        <f>M148*M159</f>
        <v/>
      </c>
      <c r="N160" s="122" t="n"/>
      <c r="O160" s="122" t="n"/>
      <c r="P160" s="122" t="n"/>
      <c r="Q160" s="122" t="n"/>
      <c r="R160" s="122" t="n"/>
      <c r="S160" s="122" t="n"/>
      <c r="T160" s="122" t="n"/>
      <c r="U160" s="122" t="n"/>
      <c r="V160" s="122" t="n"/>
      <c r="W160" s="122" t="n"/>
      <c r="X160" s="122" t="n"/>
    </row>
    <row r="161">
      <c r="A161" s="71" t="inlineStr">
        <is>
          <t>Comissão (R$)</t>
        </is>
      </c>
      <c r="B161" s="122" t="n"/>
      <c r="C161" s="76" t="n"/>
      <c r="D161" s="76">
        <f>'2. Inputs'!D35*D160</f>
        <v/>
      </c>
      <c r="E161" s="76">
        <f>'2. Inputs'!E35*E160</f>
        <v/>
      </c>
      <c r="F161" s="76">
        <f>'2. Inputs'!F35*F160</f>
        <v/>
      </c>
      <c r="G161" s="76">
        <f>'2. Inputs'!G35*G160</f>
        <v/>
      </c>
      <c r="H161" s="76">
        <f>'2. Inputs'!H35*H160</f>
        <v/>
      </c>
      <c r="I161" s="76">
        <f>'2. Inputs'!I35*I160</f>
        <v/>
      </c>
      <c r="J161" s="76">
        <f>'2. Inputs'!J35*J160</f>
        <v/>
      </c>
      <c r="K161" s="76">
        <f>'2. Inputs'!K35*K160</f>
        <v/>
      </c>
      <c r="L161" s="76">
        <f>'2. Inputs'!L35*L160</f>
        <v/>
      </c>
      <c r="M161" s="76">
        <f>'2. Inputs'!M35*M160</f>
        <v/>
      </c>
      <c r="N161" s="122" t="n"/>
      <c r="O161" s="122" t="n"/>
      <c r="P161" s="122" t="n"/>
      <c r="Q161" s="122" t="n"/>
      <c r="R161" s="122" t="n"/>
      <c r="S161" s="122" t="n"/>
      <c r="T161" s="122" t="n"/>
      <c r="U161" s="122" t="n"/>
      <c r="V161" s="122" t="n"/>
      <c r="W161" s="122" t="n"/>
      <c r="X161" s="122" t="n"/>
    </row>
    <row r="162">
      <c r="A162" s="71" t="inlineStr">
        <is>
          <t>Receita líquida (R$)</t>
        </is>
      </c>
      <c r="B162" s="122" t="n"/>
      <c r="C162" s="76" t="n"/>
      <c r="D162" s="76">
        <f>D160*(1-'2. Inputs'!D32-'2. Inputs'!D33-'2. Inputs'!D34)</f>
        <v/>
      </c>
      <c r="E162" s="76">
        <f>E160*(1-'2. Inputs'!E32-'2. Inputs'!E33-'2. Inputs'!E34)</f>
        <v/>
      </c>
      <c r="F162" s="76">
        <f>F160*(1-'2. Inputs'!F32-'2. Inputs'!F33-'2. Inputs'!F34)</f>
        <v/>
      </c>
      <c r="G162" s="76">
        <f>G160*(1-'2. Inputs'!G32-'2. Inputs'!G33-'2. Inputs'!G34)</f>
        <v/>
      </c>
      <c r="H162" s="76">
        <f>H160*(1-'2. Inputs'!H32-'2. Inputs'!H33-'2. Inputs'!H34)</f>
        <v/>
      </c>
      <c r="I162" s="76">
        <f>I160*(1-'2. Inputs'!I32-'2. Inputs'!I33-'2. Inputs'!I34)</f>
        <v/>
      </c>
      <c r="J162" s="76">
        <f>J160*(1-'2. Inputs'!J32-'2. Inputs'!J33-'2. Inputs'!J34)</f>
        <v/>
      </c>
      <c r="K162" s="76">
        <f>K160*(1-'2. Inputs'!K32-'2. Inputs'!K33-'2. Inputs'!K34)</f>
        <v/>
      </c>
      <c r="L162" s="76">
        <f>L160*(1-'2. Inputs'!L32-'2. Inputs'!L33-'2. Inputs'!L34)</f>
        <v/>
      </c>
      <c r="M162" s="76">
        <f>M160*(1-'2. Inputs'!M32-'2. Inputs'!M33-'2. Inputs'!M34)</f>
        <v/>
      </c>
      <c r="N162" s="122" t="n"/>
      <c r="O162" s="122" t="n"/>
      <c r="P162" s="122" t="n"/>
      <c r="Q162" s="122" t="n"/>
      <c r="R162" s="122" t="n"/>
      <c r="S162" s="122" t="n"/>
      <c r="T162" s="122" t="n"/>
      <c r="U162" s="122" t="n"/>
      <c r="V162" s="122" t="n"/>
      <c r="W162" s="122" t="n"/>
      <c r="X162" s="122" t="n"/>
    </row>
    <row r="163">
      <c r="A163" s="71" t="inlineStr">
        <is>
          <t>EBITDA (R$)</t>
        </is>
      </c>
      <c r="B163" s="122" t="n"/>
      <c r="C163" s="76" t="n"/>
      <c r="D163" s="76">
        <f>D162-D152-D153-D161-D154-D155-D156</f>
        <v/>
      </c>
      <c r="E163" s="76">
        <f>E162-E152-E153-E161-E154-E155-E156</f>
        <v/>
      </c>
      <c r="F163" s="76">
        <f>F162-F152-F153-F161-F154-F155-F156</f>
        <v/>
      </c>
      <c r="G163" s="76">
        <f>G162-G152-G153-G161-G154-G155-G156</f>
        <v/>
      </c>
      <c r="H163" s="76">
        <f>H162-H152-H153-H161-H154-H155-H156</f>
        <v/>
      </c>
      <c r="I163" s="76">
        <f>I162-I152-I153-I161-I154-I155-I156</f>
        <v/>
      </c>
      <c r="J163" s="76">
        <f>J162-J152-J153-J161-J154-J155-J156</f>
        <v/>
      </c>
      <c r="K163" s="76">
        <f>K162-K152-K153-K161-K154-K155-K156</f>
        <v/>
      </c>
      <c r="L163" s="76">
        <f>L162-L152-L153-L161-L154-L155-L156</f>
        <v/>
      </c>
      <c r="M163" s="76">
        <f>M162-M152-M153-M161-M154-M155-M156</f>
        <v/>
      </c>
      <c r="N163" s="122" t="n"/>
      <c r="O163" s="122" t="n"/>
      <c r="P163" s="122" t="n"/>
      <c r="Q163" s="122" t="n"/>
      <c r="R163" s="122" t="n"/>
      <c r="S163" s="122" t="n"/>
      <c r="T163" s="122" t="n"/>
      <c r="U163" s="122" t="n"/>
      <c r="V163" s="122" t="n"/>
      <c r="W163" s="122" t="n"/>
      <c r="X163" s="122" t="n"/>
    </row>
    <row r="164">
      <c r="A164" s="71" t="inlineStr">
        <is>
          <t>EBIT (R$)</t>
        </is>
      </c>
      <c r="B164" s="122" t="n"/>
      <c r="C164" s="76" t="n"/>
      <c r="D164" s="76">
        <f>D163-D157</f>
        <v/>
      </c>
      <c r="E164" s="76">
        <f>E163-E157</f>
        <v/>
      </c>
      <c r="F164" s="76">
        <f>F163-F157</f>
        <v/>
      </c>
      <c r="G164" s="76">
        <f>G163-G157</f>
        <v/>
      </c>
      <c r="H164" s="76">
        <f>H163-H157</f>
        <v/>
      </c>
      <c r="I164" s="76">
        <f>I163-I157</f>
        <v/>
      </c>
      <c r="J164" s="76">
        <f>J163-J157</f>
        <v/>
      </c>
      <c r="K164" s="76">
        <f>K163-K157</f>
        <v/>
      </c>
      <c r="L164" s="76">
        <f>L163-L157</f>
        <v/>
      </c>
      <c r="M164" s="76">
        <f>M163-M157</f>
        <v/>
      </c>
      <c r="N164" s="122" t="n"/>
      <c r="O164" s="122" t="n"/>
      <c r="P164" s="122" t="n"/>
      <c r="Q164" s="122" t="n"/>
      <c r="R164" s="122" t="n"/>
      <c r="S164" s="122" t="n"/>
      <c r="T164" s="122" t="n"/>
      <c r="U164" s="122" t="n"/>
      <c r="V164" s="122" t="n"/>
      <c r="W164" s="122" t="n"/>
      <c r="X164" s="122" t="n"/>
    </row>
    <row r="165">
      <c r="A165" s="71" t="inlineStr">
        <is>
          <t>IRPJ + adicional + CSLL (R$)</t>
        </is>
      </c>
      <c r="B165" s="122" t="n"/>
      <c r="C165" s="76" t="n"/>
      <c r="D165" s="76">
        <f>IF(D164&gt;0,'2. Inputs'!D58*D164+'2. Inputs'!D59*MAX(0,D164-'2. Inputs'!D60)+'2. Inputs'!D61*D164,0)</f>
        <v/>
      </c>
      <c r="E165" s="76">
        <f>IF(E164&gt;0,'2. Inputs'!E58*E164+'2. Inputs'!E59*MAX(0,E164-'2. Inputs'!E60)+'2. Inputs'!E61*E164,0)</f>
        <v/>
      </c>
      <c r="F165" s="76">
        <f>IF(F164&gt;0,'2. Inputs'!F58*F164+'2. Inputs'!F59*MAX(0,F164-'2. Inputs'!F60)+'2. Inputs'!F61*F164,0)</f>
        <v/>
      </c>
      <c r="G165" s="76">
        <f>IF(G164&gt;0,'2. Inputs'!G58*G164+'2. Inputs'!G59*MAX(0,G164-'2. Inputs'!G60)+'2. Inputs'!G61*G164,0)</f>
        <v/>
      </c>
      <c r="H165" s="76">
        <f>IF(H164&gt;0,'2. Inputs'!H58*H164+'2. Inputs'!H59*MAX(0,H164-'2. Inputs'!H60)+'2. Inputs'!H61*H164,0)</f>
        <v/>
      </c>
      <c r="I165" s="76">
        <f>IF(I164&gt;0,'2. Inputs'!I58*I164+'2. Inputs'!I59*MAX(0,I164-'2. Inputs'!I60)+'2. Inputs'!I61*I164,0)</f>
        <v/>
      </c>
      <c r="J165" s="76">
        <f>IF(J164&gt;0,'2. Inputs'!J58*J164+'2. Inputs'!J59*MAX(0,J164-'2. Inputs'!J60)+'2. Inputs'!J61*J164,0)</f>
        <v/>
      </c>
      <c r="K165" s="76">
        <f>IF(K164&gt;0,'2. Inputs'!K58*K164+'2. Inputs'!K59*MAX(0,K164-'2. Inputs'!K60)+'2. Inputs'!K61*K164,0)</f>
        <v/>
      </c>
      <c r="L165" s="76">
        <f>IF(L164&gt;0,'2. Inputs'!L58*L164+'2. Inputs'!L59*MAX(0,L164-'2. Inputs'!L60)+'2. Inputs'!L61*L164,0)</f>
        <v/>
      </c>
      <c r="M165" s="76">
        <f>IF(M164&gt;0,'2. Inputs'!M58*M164+'2. Inputs'!M59*MAX(0,M164-'2. Inputs'!M60)+'2. Inputs'!M61*M164,0)</f>
        <v/>
      </c>
      <c r="N165" s="122" t="n"/>
      <c r="O165" s="122" t="n"/>
      <c r="P165" s="122" t="n"/>
      <c r="Q165" s="122" t="n"/>
      <c r="R165" s="122" t="n"/>
      <c r="S165" s="122" t="n"/>
      <c r="T165" s="122" t="n"/>
      <c r="U165" s="122" t="n"/>
      <c r="V165" s="122" t="n"/>
      <c r="W165" s="122" t="n"/>
      <c r="X165" s="122" t="n"/>
    </row>
    <row r="166">
      <c r="A166" s="71" t="inlineStr">
        <is>
          <t>NOPAT (R$)</t>
        </is>
      </c>
      <c r="B166" s="122" t="n"/>
      <c r="C166" s="76" t="n"/>
      <c r="D166" s="76">
        <f>D164-D165</f>
        <v/>
      </c>
      <c r="E166" s="76">
        <f>E164-E165</f>
        <v/>
      </c>
      <c r="F166" s="76">
        <f>F164-F165</f>
        <v/>
      </c>
      <c r="G166" s="76">
        <f>G164-G165</f>
        <v/>
      </c>
      <c r="H166" s="76">
        <f>H164-H165</f>
        <v/>
      </c>
      <c r="I166" s="76">
        <f>I164-I165</f>
        <v/>
      </c>
      <c r="J166" s="76">
        <f>J164-J165</f>
        <v/>
      </c>
      <c r="K166" s="76">
        <f>K164-K165</f>
        <v/>
      </c>
      <c r="L166" s="76">
        <f>L164-L165</f>
        <v/>
      </c>
      <c r="M166" s="76">
        <f>M164-M165</f>
        <v/>
      </c>
      <c r="N166" s="122" t="n"/>
      <c r="O166" s="122" t="n"/>
      <c r="P166" s="122" t="n"/>
      <c r="Q166" s="122" t="n"/>
      <c r="R166" s="122" t="n"/>
      <c r="S166" s="122" t="n"/>
      <c r="T166" s="122" t="n"/>
      <c r="U166" s="122" t="n"/>
      <c r="V166" s="122" t="n"/>
      <c r="W166" s="122" t="n"/>
      <c r="X166" s="122" t="n"/>
    </row>
    <row r="167">
      <c r="A167" s="71" t="inlineStr">
        <is>
          <t>Capital de giro (R$)</t>
        </is>
      </c>
      <c r="B167" s="122" t="n"/>
      <c r="C167" s="76">
        <f>D167</f>
        <v/>
      </c>
      <c r="D167" s="76">
        <f>'2. Inputs'!D64/'2. Inputs'!D68*D160+'2. Inputs'!D65/'2. Inputs'!D68*(D152+D153)+'2. Inputs'!D67/'2. Inputs'!D68*(D152+D153+D161+D154+D155+D156)-'2. Inputs'!D66/'2. Inputs'!D68*(D152+D153)</f>
        <v/>
      </c>
      <c r="E167" s="76">
        <f>'2. Inputs'!E64/'2. Inputs'!E68*E160+'2. Inputs'!E65/'2. Inputs'!E68*(E152+E153)+'2. Inputs'!E67/'2. Inputs'!E68*(E152+E153+E161+E154+E155+E156)-'2. Inputs'!E66/'2. Inputs'!E68*(E152+E153)</f>
        <v/>
      </c>
      <c r="F167" s="76">
        <f>'2. Inputs'!F64/'2. Inputs'!F68*F160+'2. Inputs'!F65/'2. Inputs'!F68*(F152+F153)+'2. Inputs'!F67/'2. Inputs'!F68*(F152+F153+F161+F154+F155+F156)-'2. Inputs'!F66/'2. Inputs'!F68*(F152+F153)</f>
        <v/>
      </c>
      <c r="G167" s="76">
        <f>'2. Inputs'!G64/'2. Inputs'!G68*G160+'2. Inputs'!G65/'2. Inputs'!G68*(G152+G153)+'2. Inputs'!G67/'2. Inputs'!G68*(G152+G153+G161+G154+G155+G156)-'2. Inputs'!G66/'2. Inputs'!G68*(G152+G153)</f>
        <v/>
      </c>
      <c r="H167" s="76">
        <f>'2. Inputs'!H64/'2. Inputs'!H68*H160+'2. Inputs'!H65/'2. Inputs'!H68*(H152+H153)+'2. Inputs'!H67/'2. Inputs'!H68*(H152+H153+H161+H154+H155+H156)-'2. Inputs'!H66/'2. Inputs'!H68*(H152+H153)</f>
        <v/>
      </c>
      <c r="I167" s="76">
        <f>'2. Inputs'!I64/'2. Inputs'!I68*I160+'2. Inputs'!I65/'2. Inputs'!I68*(I152+I153)+'2. Inputs'!I67/'2. Inputs'!I68*(I152+I153+I161+I154+I155+I156)-'2. Inputs'!I66/'2. Inputs'!I68*(I152+I153)</f>
        <v/>
      </c>
      <c r="J167" s="76">
        <f>'2. Inputs'!J64/'2. Inputs'!J68*J160+'2. Inputs'!J65/'2. Inputs'!J68*(J152+J153)+'2. Inputs'!J67/'2. Inputs'!J68*(J152+J153+J161+J154+J155+J156)-'2. Inputs'!J66/'2. Inputs'!J68*(J152+J153)</f>
        <v/>
      </c>
      <c r="K167" s="76">
        <f>'2. Inputs'!K64/'2. Inputs'!K68*K160+'2. Inputs'!K65/'2. Inputs'!K68*(K152+K153)+'2. Inputs'!K67/'2. Inputs'!K68*(K152+K153+K161+K154+K155+K156)-'2. Inputs'!K66/'2. Inputs'!K68*(K152+K153)</f>
        <v/>
      </c>
      <c r="L167" s="76">
        <f>'2. Inputs'!L64/'2. Inputs'!L68*L160+'2. Inputs'!L65/'2. Inputs'!L68*(L152+L153)+'2. Inputs'!L67/'2. Inputs'!L68*(L152+L153+L161+L154+L155+L156)-'2. Inputs'!L66/'2. Inputs'!L68*(L152+L153)</f>
        <v/>
      </c>
      <c r="M167" s="76">
        <f>'2. Inputs'!M64/'2. Inputs'!M68*M160+'2. Inputs'!M65/'2. Inputs'!M68*(M152+M153)+'2. Inputs'!M67/'2. Inputs'!M68*(M152+M153+M161+M154+M155+M156)-'2. Inputs'!M66/'2. Inputs'!M68*(M152+M153)</f>
        <v/>
      </c>
      <c r="N167" s="122" t="n"/>
      <c r="O167" s="122" t="n"/>
      <c r="P167" s="122" t="n"/>
      <c r="Q167" s="122" t="n"/>
      <c r="R167" s="122" t="n"/>
      <c r="S167" s="122" t="n"/>
      <c r="T167" s="122" t="n"/>
      <c r="U167" s="122" t="n"/>
      <c r="V167" s="122" t="n"/>
      <c r="W167" s="122" t="n"/>
      <c r="X167" s="122" t="n"/>
    </row>
    <row r="168">
      <c r="A168" s="71" t="inlineStr">
        <is>
          <t>Δ capital de giro (R$)</t>
        </is>
      </c>
      <c r="B168" s="122" t="n"/>
      <c r="C168" s="76">
        <f>C167</f>
        <v/>
      </c>
      <c r="D168" s="76">
        <f>D167-C167</f>
        <v/>
      </c>
      <c r="E168" s="76">
        <f>E167-D167</f>
        <v/>
      </c>
      <c r="F168" s="76">
        <f>F167-E167</f>
        <v/>
      </c>
      <c r="G168" s="76">
        <f>G167-F167</f>
        <v/>
      </c>
      <c r="H168" s="76">
        <f>H167-G167</f>
        <v/>
      </c>
      <c r="I168" s="76">
        <f>I167-H167</f>
        <v/>
      </c>
      <c r="J168" s="76">
        <f>J167-I167</f>
        <v/>
      </c>
      <c r="K168" s="76">
        <f>K167-J167</f>
        <v/>
      </c>
      <c r="L168" s="76">
        <f>L167-K167</f>
        <v/>
      </c>
      <c r="M168" s="76">
        <f>M167-L167</f>
        <v/>
      </c>
      <c r="N168" s="122" t="n"/>
      <c r="O168" s="122" t="n"/>
      <c r="P168" s="122" t="n"/>
      <c r="Q168" s="122" t="n"/>
      <c r="R168" s="122" t="n"/>
      <c r="S168" s="122" t="n"/>
      <c r="T168" s="122" t="n"/>
      <c r="U168" s="122" t="n"/>
      <c r="V168" s="122" t="n"/>
      <c r="W168" s="122" t="n"/>
      <c r="X168" s="122" t="n"/>
    </row>
    <row r="169">
      <c r="A169" s="71" t="inlineStr">
        <is>
          <t>Fluxo de caixa livre (R$)</t>
        </is>
      </c>
      <c r="B169" s="122" t="n"/>
      <c r="C169" s="83">
        <f>-C168-'2. Inputs'!C53</f>
        <v/>
      </c>
      <c r="D169" s="83">
        <f>D166+D157-D168-'2. Inputs'!D53+IF(D$147=10,D167,0)</f>
        <v/>
      </c>
      <c r="E169" s="83">
        <f>E166+E157-E168-'2. Inputs'!E53+IF(E$147=10,E167,0)</f>
        <v/>
      </c>
      <c r="F169" s="83">
        <f>F166+F157-F168-'2. Inputs'!F53+IF(F$147=10,F167,0)</f>
        <v/>
      </c>
      <c r="G169" s="83">
        <f>G166+G157-G168-'2. Inputs'!G53+IF(G$147=10,G167,0)</f>
        <v/>
      </c>
      <c r="H169" s="83">
        <f>H166+H157-H168-'2. Inputs'!H53+IF(H$147=10,H167,0)</f>
        <v/>
      </c>
      <c r="I169" s="83">
        <f>I166+I157-I168-'2. Inputs'!I53+IF(I$147=10,I167,0)</f>
        <v/>
      </c>
      <c r="J169" s="83">
        <f>J166+J157-J168-'2. Inputs'!J53+IF(J$147=10,J167,0)</f>
        <v/>
      </c>
      <c r="K169" s="83">
        <f>K166+K157-K168-'2. Inputs'!K53+IF(K$147=10,K167,0)</f>
        <v/>
      </c>
      <c r="L169" s="83">
        <f>L166+L157-L168-'2. Inputs'!L53+IF(L$147=10,L167,0)</f>
        <v/>
      </c>
      <c r="M169" s="83">
        <f>M166+M157-M168-'2. Inputs'!M53+IF(M$147=10,M167,0)</f>
        <v/>
      </c>
      <c r="N169" s="84">
        <f>C169/(1+'2. Inputs'!$C$81)^C147</f>
        <v/>
      </c>
      <c r="O169" s="84">
        <f>N169+D169/(1+'2. Inputs'!$C$81)^D147</f>
        <v/>
      </c>
      <c r="P169" s="84">
        <f>O169+E169/(1+'2. Inputs'!$C$81)^E147</f>
        <v/>
      </c>
      <c r="Q169" s="84">
        <f>P169+F169/(1+'2. Inputs'!$C$81)^F147</f>
        <v/>
      </c>
      <c r="R169" s="84">
        <f>Q169+G169/(1+'2. Inputs'!$C$81)^G147</f>
        <v/>
      </c>
      <c r="S169" s="84">
        <f>R169+H169/(1+'2. Inputs'!$C$81)^H147</f>
        <v/>
      </c>
      <c r="T169" s="84">
        <f>S169+I169/(1+'2. Inputs'!$C$81)^I147</f>
        <v/>
      </c>
      <c r="U169" s="84">
        <f>T169+J169/(1+'2. Inputs'!$C$81)^J147</f>
        <v/>
      </c>
      <c r="V169" s="84">
        <f>U169+K169/(1+'2. Inputs'!$C$81)^K147</f>
        <v/>
      </c>
      <c r="W169" s="84">
        <f>V169+L169/(1+'2. Inputs'!$C$81)^L147</f>
        <v/>
      </c>
      <c r="X169" s="84">
        <f>W169+M169/(1+'2. Inputs'!$C$81)^M147</f>
        <v/>
      </c>
    </row>
    <row r="170">
      <c r="A170" s="122" t="n"/>
      <c r="B170" s="122" t="n"/>
      <c r="C170" s="122" t="n"/>
      <c r="D170" s="122" t="n"/>
      <c r="E170" s="122" t="n"/>
      <c r="F170" s="122" t="n"/>
      <c r="G170" s="122" t="n"/>
      <c r="H170" s="122" t="n"/>
      <c r="I170" s="122" t="n"/>
      <c r="J170" s="122" t="n"/>
      <c r="K170" s="122" t="n"/>
      <c r="L170" s="122" t="n"/>
      <c r="M170" s="122" t="n"/>
      <c r="N170" s="122" t="n"/>
      <c r="O170" s="122" t="n"/>
      <c r="P170" s="122" t="n"/>
      <c r="Q170" s="122" t="n"/>
      <c r="R170" s="122" t="n"/>
      <c r="S170" s="122" t="n"/>
      <c r="T170" s="122" t="n"/>
      <c r="U170" s="122" t="n"/>
      <c r="V170" s="122" t="n"/>
      <c r="W170" s="122" t="n"/>
      <c r="X170" s="122" t="n"/>
    </row>
    <row r="171">
      <c r="A171" s="15" t="inlineStr">
        <is>
          <t>CORRIDA 7 — Margem-alvo +3 p.p.</t>
        </is>
      </c>
      <c r="B171" s="126" t="n"/>
      <c r="C171" s="126" t="n"/>
      <c r="D171" s="126" t="n"/>
      <c r="E171" s="126" t="n"/>
      <c r="F171" s="126" t="n"/>
      <c r="G171" s="126" t="n"/>
      <c r="H171" s="126" t="n"/>
      <c r="I171" s="126" t="n"/>
      <c r="J171" s="126" t="n"/>
      <c r="K171" s="126" t="n"/>
      <c r="L171" s="126" t="n"/>
      <c r="M171" s="126" t="n"/>
      <c r="N171" s="122" t="n"/>
      <c r="O171" s="122" t="n"/>
      <c r="P171" s="122" t="n"/>
      <c r="Q171" s="122" t="n"/>
      <c r="R171" s="122" t="n"/>
      <c r="S171" s="122" t="n"/>
      <c r="T171" s="122" t="n"/>
      <c r="U171" s="122" t="n"/>
      <c r="V171" s="122" t="n"/>
      <c r="W171" s="122" t="n"/>
      <c r="X171" s="122" t="n"/>
    </row>
    <row r="172">
      <c r="A172" s="78" t="inlineStr">
        <is>
          <t>Ano</t>
        </is>
      </c>
      <c r="B172" s="122" t="n"/>
      <c r="C172" s="79" t="n">
        <v>0</v>
      </c>
      <c r="D172" s="79" t="n">
        <v>1</v>
      </c>
      <c r="E172" s="79" t="n">
        <v>2</v>
      </c>
      <c r="F172" s="79" t="n">
        <v>3</v>
      </c>
      <c r="G172" s="79" t="n">
        <v>4</v>
      </c>
      <c r="H172" s="79" t="n">
        <v>5</v>
      </c>
      <c r="I172" s="79" t="n">
        <v>6</v>
      </c>
      <c r="J172" s="79" t="n">
        <v>7</v>
      </c>
      <c r="K172" s="79" t="n">
        <v>8</v>
      </c>
      <c r="L172" s="79" t="n">
        <v>9</v>
      </c>
      <c r="M172" s="79" t="n">
        <v>10</v>
      </c>
      <c r="N172" s="122" t="n"/>
      <c r="O172" s="122" t="n"/>
      <c r="P172" s="122" t="n"/>
      <c r="Q172" s="122" t="n"/>
      <c r="R172" s="122" t="n"/>
      <c r="S172" s="122" t="n"/>
      <c r="T172" s="122" t="n"/>
      <c r="U172" s="122" t="n"/>
      <c r="V172" s="122" t="n"/>
      <c r="W172" s="122" t="n"/>
      <c r="X172" s="122" t="n"/>
    </row>
    <row r="173">
      <c r="A173" s="71" t="inlineStr">
        <is>
          <t>Volume (un)</t>
        </is>
      </c>
      <c r="B173" s="122" t="n"/>
      <c r="C173" s="76" t="n"/>
      <c r="D173" s="76">
        <f>'2. Inputs'!D11*(1+$C$13)</f>
        <v/>
      </c>
      <c r="E173" s="76">
        <f>'2. Inputs'!E11*(1+$C$13)</f>
        <v/>
      </c>
      <c r="F173" s="76">
        <f>'2. Inputs'!F11*(1+$C$13)</f>
        <v/>
      </c>
      <c r="G173" s="76">
        <f>'2. Inputs'!G11*(1+$C$13)</f>
        <v/>
      </c>
      <c r="H173" s="76">
        <f>'2. Inputs'!H11*(1+$C$13)</f>
        <v/>
      </c>
      <c r="I173" s="76">
        <f>'2. Inputs'!I11*(1+$C$13)</f>
        <v/>
      </c>
      <c r="J173" s="76">
        <f>'2. Inputs'!J11*(1+$C$13)</f>
        <v/>
      </c>
      <c r="K173" s="76">
        <f>'2. Inputs'!K11*(1+$C$13)</f>
        <v/>
      </c>
      <c r="L173" s="76">
        <f>'2. Inputs'!L11*(1+$C$13)</f>
        <v/>
      </c>
      <c r="M173" s="76">
        <f>'2. Inputs'!M11*(1+$C$13)</f>
        <v/>
      </c>
      <c r="N173" s="122" t="n"/>
      <c r="O173" s="122" t="n"/>
      <c r="P173" s="122" t="n"/>
      <c r="Q173" s="122" t="n"/>
      <c r="R173" s="122" t="n"/>
      <c r="S173" s="122" t="n"/>
      <c r="T173" s="122" t="n"/>
      <c r="U173" s="122" t="n"/>
      <c r="V173" s="122" t="n"/>
      <c r="W173" s="122" t="n"/>
      <c r="X173" s="122" t="n"/>
    </row>
    <row r="174">
      <c r="A174" s="71" t="inlineStr">
        <is>
          <t>Frete unitário (R$/un)</t>
        </is>
      </c>
      <c r="B174" s="80">
        <f>('2. Inputs'!D25*'2. Inputs'!$C$96+'2. Inputs'!D26*'2. Inputs'!$C$97+'2. Inputs'!D27*'2. Inputs'!$C$98+'2. Inputs'!D28*'2. Inputs'!$C$99)/'2. Inputs'!$C$100</f>
        <v/>
      </c>
      <c r="C174" s="81" t="n"/>
      <c r="D174" s="81">
        <f>$G$13*'2. Inputs'!D24+(1-$G$13)*$B$174</f>
        <v/>
      </c>
      <c r="E174" s="81">
        <f>$G$13*'2. Inputs'!E24+(1-$G$13)*$B$174</f>
        <v/>
      </c>
      <c r="F174" s="81">
        <f>$G$13*'2. Inputs'!F24+(1-$G$13)*$B$174</f>
        <v/>
      </c>
      <c r="G174" s="81">
        <f>$G$13*'2. Inputs'!G24+(1-$G$13)*$B$174</f>
        <v/>
      </c>
      <c r="H174" s="81">
        <f>$G$13*'2. Inputs'!H24+(1-$G$13)*$B$174</f>
        <v/>
      </c>
      <c r="I174" s="81">
        <f>$G$13*'2. Inputs'!I24+(1-$G$13)*$B$174</f>
        <v/>
      </c>
      <c r="J174" s="81">
        <f>$G$13*'2. Inputs'!J24+(1-$G$13)*$B$174</f>
        <v/>
      </c>
      <c r="K174" s="81">
        <f>$G$13*'2. Inputs'!K24+(1-$G$13)*$B$174</f>
        <v/>
      </c>
      <c r="L174" s="81">
        <f>$G$13*'2. Inputs'!L24+(1-$G$13)*$B$174</f>
        <v/>
      </c>
      <c r="M174" s="81">
        <f>$G$13*'2. Inputs'!M24+(1-$G$13)*$B$174</f>
        <v/>
      </c>
      <c r="N174" s="122" t="n"/>
      <c r="O174" s="2" t="inlineStr">
        <is>
          <t>Coluna B: frete unitário médio fora do Sudeste, nas proporções da origem (Sul 5%, NE 3%, N 2%, CO 10%).</t>
        </is>
      </c>
      <c r="P174" s="122" t="n"/>
      <c r="Q174" s="122" t="n"/>
      <c r="R174" s="122" t="n"/>
      <c r="S174" s="122" t="n"/>
      <c r="T174" s="122" t="n"/>
      <c r="U174" s="122" t="n"/>
      <c r="V174" s="122" t="n"/>
      <c r="W174" s="122" t="n"/>
      <c r="X174" s="122" t="n"/>
    </row>
    <row r="175">
      <c r="A175" s="71" t="inlineStr">
        <is>
          <t>Custo variável unitário (R$/un)</t>
        </is>
      </c>
      <c r="B175" s="122" t="n"/>
      <c r="C175" s="82" t="n"/>
      <c r="D175" s="82">
        <f>'2. Inputs'!D43*(1+$E$13)</f>
        <v/>
      </c>
      <c r="E175" s="82">
        <f>'2. Inputs'!E43*(1+$E$13)</f>
        <v/>
      </c>
      <c r="F175" s="82">
        <f>'2. Inputs'!F43*(1+$E$13)</f>
        <v/>
      </c>
      <c r="G175" s="82">
        <f>'2. Inputs'!G43*(1+$E$13)</f>
        <v/>
      </c>
      <c r="H175" s="82">
        <f>'2. Inputs'!H43*(1+$E$13)</f>
        <v/>
      </c>
      <c r="I175" s="82">
        <f>'2. Inputs'!I43*(1+$E$13)</f>
        <v/>
      </c>
      <c r="J175" s="82">
        <f>'2. Inputs'!J43*(1+$E$13)</f>
        <v/>
      </c>
      <c r="K175" s="82">
        <f>'2. Inputs'!K43*(1+$E$13)</f>
        <v/>
      </c>
      <c r="L175" s="82">
        <f>'2. Inputs'!L43*(1+$E$13)</f>
        <v/>
      </c>
      <c r="M175" s="82">
        <f>'2. Inputs'!M43*(1+$E$13)</f>
        <v/>
      </c>
      <c r="N175" s="122" t="n"/>
      <c r="O175" s="122" t="n"/>
      <c r="P175" s="122" t="n"/>
      <c r="Q175" s="122" t="n"/>
      <c r="R175" s="122" t="n"/>
      <c r="S175" s="122" t="n"/>
      <c r="T175" s="122" t="n"/>
      <c r="U175" s="122" t="n"/>
      <c r="V175" s="122" t="n"/>
      <c r="W175" s="122" t="n"/>
      <c r="X175" s="122" t="n"/>
    </row>
    <row r="176">
      <c r="A176" s="71" t="inlineStr">
        <is>
          <t>Markup total (%)</t>
        </is>
      </c>
      <c r="B176" s="122" t="n"/>
      <c r="C176" s="72" t="n"/>
      <c r="D176" s="72">
        <f>'2. Inputs'!D32+'2. Inputs'!D33+'2. Inputs'!D34+'2. Inputs'!D35+'2. Inputs'!D36+$D$13</f>
        <v/>
      </c>
      <c r="E176" s="72">
        <f>'2. Inputs'!E32+'2. Inputs'!E33+'2. Inputs'!E34+'2. Inputs'!E35+'2. Inputs'!E36+$D$13</f>
        <v/>
      </c>
      <c r="F176" s="72">
        <f>'2. Inputs'!F32+'2. Inputs'!F33+'2. Inputs'!F34+'2. Inputs'!F35+'2. Inputs'!F36+$D$13</f>
        <v/>
      </c>
      <c r="G176" s="72">
        <f>'2. Inputs'!G32+'2. Inputs'!G33+'2. Inputs'!G34+'2. Inputs'!G35+'2. Inputs'!G36+$D$13</f>
        <v/>
      </c>
      <c r="H176" s="72">
        <f>'2. Inputs'!H32+'2. Inputs'!H33+'2. Inputs'!H34+'2. Inputs'!H35+'2. Inputs'!H36+$D$13</f>
        <v/>
      </c>
      <c r="I176" s="72">
        <f>'2. Inputs'!I32+'2. Inputs'!I33+'2. Inputs'!I34+'2. Inputs'!I35+'2. Inputs'!I36+$D$13</f>
        <v/>
      </c>
      <c r="J176" s="72">
        <f>'2. Inputs'!J32+'2. Inputs'!J33+'2. Inputs'!J34+'2. Inputs'!J35+'2. Inputs'!J36+$D$13</f>
        <v/>
      </c>
      <c r="K176" s="72">
        <f>'2. Inputs'!K32+'2. Inputs'!K33+'2. Inputs'!K34+'2. Inputs'!K35+'2. Inputs'!K36+$D$13</f>
        <v/>
      </c>
      <c r="L176" s="72">
        <f>'2. Inputs'!L32+'2. Inputs'!L33+'2. Inputs'!L34+'2. Inputs'!L35+'2. Inputs'!L36+$D$13</f>
        <v/>
      </c>
      <c r="M176" s="72">
        <f>'2. Inputs'!M32+'2. Inputs'!M33+'2. Inputs'!M34+'2. Inputs'!M35+'2. Inputs'!M36+$D$13</f>
        <v/>
      </c>
      <c r="N176" s="122" t="n"/>
      <c r="O176" s="122" t="n"/>
      <c r="P176" s="122" t="n"/>
      <c r="Q176" s="122" t="n"/>
      <c r="R176" s="122" t="n"/>
      <c r="S176" s="122" t="n"/>
      <c r="T176" s="122" t="n"/>
      <c r="U176" s="122" t="n"/>
      <c r="V176" s="122" t="n"/>
      <c r="W176" s="122" t="n"/>
      <c r="X176" s="122" t="n"/>
    </row>
    <row r="177">
      <c r="A177" s="71" t="inlineStr">
        <is>
          <t>Custo variável (R$)</t>
        </is>
      </c>
      <c r="B177" s="122" t="n"/>
      <c r="C177" s="76" t="n"/>
      <c r="D177" s="76">
        <f>D173*D175</f>
        <v/>
      </c>
      <c r="E177" s="76">
        <f>E173*E175</f>
        <v/>
      </c>
      <c r="F177" s="76">
        <f>F173*F175</f>
        <v/>
      </c>
      <c r="G177" s="76">
        <f>G173*G175</f>
        <v/>
      </c>
      <c r="H177" s="76">
        <f>H173*H175</f>
        <v/>
      </c>
      <c r="I177" s="76">
        <f>I173*I175</f>
        <v/>
      </c>
      <c r="J177" s="76">
        <f>J173*J175</f>
        <v/>
      </c>
      <c r="K177" s="76">
        <f>K173*K175</f>
        <v/>
      </c>
      <c r="L177" s="76">
        <f>L173*L175</f>
        <v/>
      </c>
      <c r="M177" s="76">
        <f>M173*M175</f>
        <v/>
      </c>
      <c r="N177" s="122" t="n"/>
      <c r="O177" s="122" t="n"/>
      <c r="P177" s="122" t="n"/>
      <c r="Q177" s="122" t="n"/>
      <c r="R177" s="122" t="n"/>
      <c r="S177" s="122" t="n"/>
      <c r="T177" s="122" t="n"/>
      <c r="U177" s="122" t="n"/>
      <c r="V177" s="122" t="n"/>
      <c r="W177" s="122" t="n"/>
      <c r="X177" s="122" t="n"/>
    </row>
    <row r="178">
      <c r="A178" s="71" t="inlineStr">
        <is>
          <t>Frete (R$)</t>
        </is>
      </c>
      <c r="B178" s="122" t="n"/>
      <c r="C178" s="76" t="n"/>
      <c r="D178" s="76">
        <f>D173*D174</f>
        <v/>
      </c>
      <c r="E178" s="76">
        <f>E173*E174</f>
        <v/>
      </c>
      <c r="F178" s="76">
        <f>F173*F174</f>
        <v/>
      </c>
      <c r="G178" s="76">
        <f>G173*G174</f>
        <v/>
      </c>
      <c r="H178" s="76">
        <f>H173*H174</f>
        <v/>
      </c>
      <c r="I178" s="76">
        <f>I173*I174</f>
        <v/>
      </c>
      <c r="J178" s="76">
        <f>J173*J174</f>
        <v/>
      </c>
      <c r="K178" s="76">
        <f>K173*K174</f>
        <v/>
      </c>
      <c r="L178" s="76">
        <f>L173*L174</f>
        <v/>
      </c>
      <c r="M178" s="76">
        <f>M173*M174</f>
        <v/>
      </c>
      <c r="N178" s="122" t="n"/>
      <c r="O178" s="122" t="n"/>
      <c r="P178" s="122" t="n"/>
      <c r="Q178" s="122" t="n"/>
      <c r="R178" s="122" t="n"/>
      <c r="S178" s="122" t="n"/>
      <c r="T178" s="122" t="n"/>
      <c r="U178" s="122" t="n"/>
      <c r="V178" s="122" t="n"/>
      <c r="W178" s="122" t="n"/>
      <c r="X178" s="122" t="n"/>
    </row>
    <row r="179">
      <c r="A179" s="71" t="inlineStr">
        <is>
          <t>Custo fixo de estrutura (R$)</t>
        </is>
      </c>
      <c r="B179" s="122" t="n"/>
      <c r="C179" s="76" t="n"/>
      <c r="D179" s="76">
        <f>'2. Inputs'!D46</f>
        <v/>
      </c>
      <c r="E179" s="76">
        <f>'2. Inputs'!E46</f>
        <v/>
      </c>
      <c r="F179" s="76">
        <f>'2. Inputs'!F46</f>
        <v/>
      </c>
      <c r="G179" s="76">
        <f>'2. Inputs'!G46</f>
        <v/>
      </c>
      <c r="H179" s="76">
        <f>'2. Inputs'!H46</f>
        <v/>
      </c>
      <c r="I179" s="76">
        <f>'2. Inputs'!I46</f>
        <v/>
      </c>
      <c r="J179" s="76">
        <f>'2. Inputs'!J46</f>
        <v/>
      </c>
      <c r="K179" s="76">
        <f>'2. Inputs'!K46</f>
        <v/>
      </c>
      <c r="L179" s="76">
        <f>'2. Inputs'!L46</f>
        <v/>
      </c>
      <c r="M179" s="76">
        <f>'2. Inputs'!M46</f>
        <v/>
      </c>
      <c r="N179" s="122" t="n"/>
      <c r="O179" s="122" t="n"/>
      <c r="P179" s="122" t="n"/>
      <c r="Q179" s="122" t="n"/>
      <c r="R179" s="122" t="n"/>
      <c r="S179" s="122" t="n"/>
      <c r="T179" s="122" t="n"/>
      <c r="U179" s="122" t="n"/>
      <c r="V179" s="122" t="n"/>
      <c r="W179" s="122" t="n"/>
      <c r="X179" s="122" t="n"/>
    </row>
    <row r="180">
      <c r="A180" s="71" t="inlineStr">
        <is>
          <t>Manutenção e seguro (R$)</t>
        </is>
      </c>
      <c r="B180" s="122" t="n"/>
      <c r="C180" s="76" t="n"/>
      <c r="D180" s="76">
        <f>('2. Inputs'!D47+'2. Inputs'!D48)*'2. Inputs'!D54</f>
        <v/>
      </c>
      <c r="E180" s="76">
        <f>('2. Inputs'!E47+'2. Inputs'!E48)*'2. Inputs'!E54</f>
        <v/>
      </c>
      <c r="F180" s="76">
        <f>('2. Inputs'!F47+'2. Inputs'!F48)*'2. Inputs'!F54</f>
        <v/>
      </c>
      <c r="G180" s="76">
        <f>('2. Inputs'!G47+'2. Inputs'!G48)*'2. Inputs'!G54</f>
        <v/>
      </c>
      <c r="H180" s="76">
        <f>('2. Inputs'!H47+'2. Inputs'!H48)*'2. Inputs'!H54</f>
        <v/>
      </c>
      <c r="I180" s="76">
        <f>('2. Inputs'!I47+'2. Inputs'!I48)*'2. Inputs'!I54</f>
        <v/>
      </c>
      <c r="J180" s="76">
        <f>('2. Inputs'!J47+'2. Inputs'!J48)*'2. Inputs'!J54</f>
        <v/>
      </c>
      <c r="K180" s="76">
        <f>('2. Inputs'!K47+'2. Inputs'!K48)*'2. Inputs'!K54</f>
        <v/>
      </c>
      <c r="L180" s="76">
        <f>('2. Inputs'!L47+'2. Inputs'!L48)*'2. Inputs'!L54</f>
        <v/>
      </c>
      <c r="M180" s="76">
        <f>('2. Inputs'!M47+'2. Inputs'!M48)*'2. Inputs'!M54</f>
        <v/>
      </c>
      <c r="N180" s="122" t="n"/>
      <c r="O180" s="122" t="n"/>
      <c r="P180" s="122" t="n"/>
      <c r="Q180" s="122" t="n"/>
      <c r="R180" s="122" t="n"/>
      <c r="S180" s="122" t="n"/>
      <c r="T180" s="122" t="n"/>
      <c r="U180" s="122" t="n"/>
      <c r="V180" s="122" t="n"/>
      <c r="W180" s="122" t="n"/>
      <c r="X180" s="122" t="n"/>
    </row>
    <row r="181">
      <c r="A181" s="71" t="inlineStr">
        <is>
          <t>Contingência (R$)</t>
        </is>
      </c>
      <c r="B181" s="122" t="n"/>
      <c r="C181" s="76" t="n"/>
      <c r="D181" s="76">
        <f>$F$13*'2. Inputs'!D54</f>
        <v/>
      </c>
      <c r="E181" s="76">
        <f>$F$13*'2. Inputs'!E54</f>
        <v/>
      </c>
      <c r="F181" s="76">
        <f>$F$13*'2. Inputs'!F54</f>
        <v/>
      </c>
      <c r="G181" s="76">
        <f>$F$13*'2. Inputs'!G54</f>
        <v/>
      </c>
      <c r="H181" s="76">
        <f>$F$13*'2. Inputs'!H54</f>
        <v/>
      </c>
      <c r="I181" s="76">
        <f>$F$13*'2. Inputs'!I54</f>
        <v/>
      </c>
      <c r="J181" s="76">
        <f>$F$13*'2. Inputs'!J54</f>
        <v/>
      </c>
      <c r="K181" s="76">
        <f>$F$13*'2. Inputs'!K54</f>
        <v/>
      </c>
      <c r="L181" s="76">
        <f>$F$13*'2. Inputs'!L54</f>
        <v/>
      </c>
      <c r="M181" s="76">
        <f>$F$13*'2. Inputs'!M54</f>
        <v/>
      </c>
      <c r="N181" s="122" t="n"/>
      <c r="O181" s="122" t="n"/>
      <c r="P181" s="122" t="n"/>
      <c r="Q181" s="122" t="n"/>
      <c r="R181" s="122" t="n"/>
      <c r="S181" s="122" t="n"/>
      <c r="T181" s="122" t="n"/>
      <c r="U181" s="122" t="n"/>
      <c r="V181" s="122" t="n"/>
      <c r="W181" s="122" t="n"/>
      <c r="X181" s="122" t="n"/>
    </row>
    <row r="182">
      <c r="A182" s="71" t="inlineStr">
        <is>
          <t>Depreciação (R$)</t>
        </is>
      </c>
      <c r="B182" s="122" t="n"/>
      <c r="C182" s="76" t="n"/>
      <c r="D182" s="76">
        <f>'3. Depreciacao'!D31</f>
        <v/>
      </c>
      <c r="E182" s="76">
        <f>'3. Depreciacao'!E31</f>
        <v/>
      </c>
      <c r="F182" s="76">
        <f>'3. Depreciacao'!F31</f>
        <v/>
      </c>
      <c r="G182" s="76">
        <f>'3. Depreciacao'!G31</f>
        <v/>
      </c>
      <c r="H182" s="76">
        <f>'3. Depreciacao'!H31</f>
        <v/>
      </c>
      <c r="I182" s="76">
        <f>'3. Depreciacao'!I31</f>
        <v/>
      </c>
      <c r="J182" s="76">
        <f>'3. Depreciacao'!J31</f>
        <v/>
      </c>
      <c r="K182" s="76">
        <f>'3. Depreciacao'!K31</f>
        <v/>
      </c>
      <c r="L182" s="76">
        <f>'3. Depreciacao'!L31</f>
        <v/>
      </c>
      <c r="M182" s="76">
        <f>'3. Depreciacao'!M31</f>
        <v/>
      </c>
      <c r="N182" s="122" t="n"/>
      <c r="O182" s="122" t="n"/>
      <c r="P182" s="122" t="n"/>
      <c r="Q182" s="122" t="n"/>
      <c r="R182" s="122" t="n"/>
      <c r="S182" s="122" t="n"/>
      <c r="T182" s="122" t="n"/>
      <c r="U182" s="122" t="n"/>
      <c r="V182" s="122" t="n"/>
      <c r="W182" s="122" t="n"/>
      <c r="X182" s="122" t="n"/>
    </row>
    <row r="183">
      <c r="A183" s="71" t="inlineStr">
        <is>
          <t>Custo total (R$)</t>
        </is>
      </c>
      <c r="B183" s="122" t="n"/>
      <c r="C183" s="76" t="n"/>
      <c r="D183" s="76">
        <f>SUM(D177:D182)</f>
        <v/>
      </c>
      <c r="E183" s="76">
        <f>SUM(E177:E182)</f>
        <v/>
      </c>
      <c r="F183" s="76">
        <f>SUM(F177:F182)</f>
        <v/>
      </c>
      <c r="G183" s="76">
        <f>SUM(G177:G182)</f>
        <v/>
      </c>
      <c r="H183" s="76">
        <f>SUM(H177:H182)</f>
        <v/>
      </c>
      <c r="I183" s="76">
        <f>SUM(I177:I182)</f>
        <v/>
      </c>
      <c r="J183" s="76">
        <f>SUM(J177:J182)</f>
        <v/>
      </c>
      <c r="K183" s="76">
        <f>SUM(K177:K182)</f>
        <v/>
      </c>
      <c r="L183" s="76">
        <f>SUM(L177:L182)</f>
        <v/>
      </c>
      <c r="M183" s="76">
        <f>SUM(M177:M182)</f>
        <v/>
      </c>
      <c r="N183" s="122" t="n"/>
      <c r="O183" s="122" t="n"/>
      <c r="P183" s="122" t="n"/>
      <c r="Q183" s="122" t="n"/>
      <c r="R183" s="122" t="n"/>
      <c r="S183" s="122" t="n"/>
      <c r="T183" s="122" t="n"/>
      <c r="U183" s="122" t="n"/>
      <c r="V183" s="122" t="n"/>
      <c r="W183" s="122" t="n"/>
      <c r="X183" s="122" t="n"/>
    </row>
    <row r="184">
      <c r="A184" s="71" t="inlineStr">
        <is>
          <t>Preço bruto unitário (R$/un)</t>
        </is>
      </c>
      <c r="B184" s="122" t="n"/>
      <c r="C184" s="82" t="n"/>
      <c r="D184" s="82">
        <f>IF('2. Inputs'!$C$38=1,D183/D173/(1-D176),'2. Inputs'!D39)</f>
        <v/>
      </c>
      <c r="E184" s="82">
        <f>IF('2. Inputs'!$C$38=1,E183/E173/(1-E176),'2. Inputs'!E39)</f>
        <v/>
      </c>
      <c r="F184" s="82">
        <f>IF('2. Inputs'!$C$38=1,F183/F173/(1-F176),'2. Inputs'!F39)</f>
        <v/>
      </c>
      <c r="G184" s="82">
        <f>IF('2. Inputs'!$C$38=1,G183/G173/(1-G176),'2. Inputs'!G39)</f>
        <v/>
      </c>
      <c r="H184" s="82">
        <f>IF('2. Inputs'!$C$38=1,H183/H173/(1-H176),'2. Inputs'!H39)</f>
        <v/>
      </c>
      <c r="I184" s="82">
        <f>IF('2. Inputs'!$C$38=1,I183/I173/(1-I176),'2. Inputs'!I39)</f>
        <v/>
      </c>
      <c r="J184" s="82">
        <f>IF('2. Inputs'!$C$38=1,J183/J173/(1-J176),'2. Inputs'!J39)</f>
        <v/>
      </c>
      <c r="K184" s="82">
        <f>IF('2. Inputs'!$C$38=1,K183/K173/(1-K176),'2. Inputs'!K39)</f>
        <v/>
      </c>
      <c r="L184" s="82">
        <f>IF('2. Inputs'!$C$38=1,L183/L173/(1-L176),'2. Inputs'!L39)</f>
        <v/>
      </c>
      <c r="M184" s="82">
        <f>IF('2. Inputs'!$C$38=1,M183/M173/(1-M176),'2. Inputs'!M39)</f>
        <v/>
      </c>
      <c r="N184" s="122" t="n"/>
      <c r="O184" s="122" t="n"/>
      <c r="P184" s="122" t="n"/>
      <c r="Q184" s="122" t="n"/>
      <c r="R184" s="122" t="n"/>
      <c r="S184" s="122" t="n"/>
      <c r="T184" s="122" t="n"/>
      <c r="U184" s="122" t="n"/>
      <c r="V184" s="122" t="n"/>
      <c r="W184" s="122" t="n"/>
      <c r="X184" s="122" t="n"/>
    </row>
    <row r="185">
      <c r="A185" s="71" t="inlineStr">
        <is>
          <t>Receita bruta (R$)</t>
        </is>
      </c>
      <c r="B185" s="122" t="n"/>
      <c r="C185" s="76" t="n"/>
      <c r="D185" s="76">
        <f>D173*D184</f>
        <v/>
      </c>
      <c r="E185" s="76">
        <f>E173*E184</f>
        <v/>
      </c>
      <c r="F185" s="76">
        <f>F173*F184</f>
        <v/>
      </c>
      <c r="G185" s="76">
        <f>G173*G184</f>
        <v/>
      </c>
      <c r="H185" s="76">
        <f>H173*H184</f>
        <v/>
      </c>
      <c r="I185" s="76">
        <f>I173*I184</f>
        <v/>
      </c>
      <c r="J185" s="76">
        <f>J173*J184</f>
        <v/>
      </c>
      <c r="K185" s="76">
        <f>K173*K184</f>
        <v/>
      </c>
      <c r="L185" s="76">
        <f>L173*L184</f>
        <v/>
      </c>
      <c r="M185" s="76">
        <f>M173*M184</f>
        <v/>
      </c>
      <c r="N185" s="122" t="n"/>
      <c r="O185" s="122" t="n"/>
      <c r="P185" s="122" t="n"/>
      <c r="Q185" s="122" t="n"/>
      <c r="R185" s="122" t="n"/>
      <c r="S185" s="122" t="n"/>
      <c r="T185" s="122" t="n"/>
      <c r="U185" s="122" t="n"/>
      <c r="V185" s="122" t="n"/>
      <c r="W185" s="122" t="n"/>
      <c r="X185" s="122" t="n"/>
    </row>
    <row r="186">
      <c r="A186" s="71" t="inlineStr">
        <is>
          <t>Comissão (R$)</t>
        </is>
      </c>
      <c r="B186" s="122" t="n"/>
      <c r="C186" s="76" t="n"/>
      <c r="D186" s="76">
        <f>'2. Inputs'!D35*D185</f>
        <v/>
      </c>
      <c r="E186" s="76">
        <f>'2. Inputs'!E35*E185</f>
        <v/>
      </c>
      <c r="F186" s="76">
        <f>'2. Inputs'!F35*F185</f>
        <v/>
      </c>
      <c r="G186" s="76">
        <f>'2. Inputs'!G35*G185</f>
        <v/>
      </c>
      <c r="H186" s="76">
        <f>'2. Inputs'!H35*H185</f>
        <v/>
      </c>
      <c r="I186" s="76">
        <f>'2. Inputs'!I35*I185</f>
        <v/>
      </c>
      <c r="J186" s="76">
        <f>'2. Inputs'!J35*J185</f>
        <v/>
      </c>
      <c r="K186" s="76">
        <f>'2. Inputs'!K35*K185</f>
        <v/>
      </c>
      <c r="L186" s="76">
        <f>'2. Inputs'!L35*L185</f>
        <v/>
      </c>
      <c r="M186" s="76">
        <f>'2. Inputs'!M35*M185</f>
        <v/>
      </c>
      <c r="N186" s="122" t="n"/>
      <c r="O186" s="122" t="n"/>
      <c r="P186" s="122" t="n"/>
      <c r="Q186" s="122" t="n"/>
      <c r="R186" s="122" t="n"/>
      <c r="S186" s="122" t="n"/>
      <c r="T186" s="122" t="n"/>
      <c r="U186" s="122" t="n"/>
      <c r="V186" s="122" t="n"/>
      <c r="W186" s="122" t="n"/>
      <c r="X186" s="122" t="n"/>
    </row>
    <row r="187">
      <c r="A187" s="71" t="inlineStr">
        <is>
          <t>Receita líquida (R$)</t>
        </is>
      </c>
      <c r="B187" s="122" t="n"/>
      <c r="C187" s="76" t="n"/>
      <c r="D187" s="76">
        <f>D185*(1-'2. Inputs'!D32-'2. Inputs'!D33-'2. Inputs'!D34)</f>
        <v/>
      </c>
      <c r="E187" s="76">
        <f>E185*(1-'2. Inputs'!E32-'2. Inputs'!E33-'2. Inputs'!E34)</f>
        <v/>
      </c>
      <c r="F187" s="76">
        <f>F185*(1-'2. Inputs'!F32-'2. Inputs'!F33-'2. Inputs'!F34)</f>
        <v/>
      </c>
      <c r="G187" s="76">
        <f>G185*(1-'2. Inputs'!G32-'2. Inputs'!G33-'2. Inputs'!G34)</f>
        <v/>
      </c>
      <c r="H187" s="76">
        <f>H185*(1-'2. Inputs'!H32-'2. Inputs'!H33-'2. Inputs'!H34)</f>
        <v/>
      </c>
      <c r="I187" s="76">
        <f>I185*(1-'2. Inputs'!I32-'2. Inputs'!I33-'2. Inputs'!I34)</f>
        <v/>
      </c>
      <c r="J187" s="76">
        <f>J185*(1-'2. Inputs'!J32-'2. Inputs'!J33-'2. Inputs'!J34)</f>
        <v/>
      </c>
      <c r="K187" s="76">
        <f>K185*(1-'2. Inputs'!K32-'2. Inputs'!K33-'2. Inputs'!K34)</f>
        <v/>
      </c>
      <c r="L187" s="76">
        <f>L185*(1-'2. Inputs'!L32-'2. Inputs'!L33-'2. Inputs'!L34)</f>
        <v/>
      </c>
      <c r="M187" s="76">
        <f>M185*(1-'2. Inputs'!M32-'2. Inputs'!M33-'2. Inputs'!M34)</f>
        <v/>
      </c>
      <c r="N187" s="122" t="n"/>
      <c r="O187" s="122" t="n"/>
      <c r="P187" s="122" t="n"/>
      <c r="Q187" s="122" t="n"/>
      <c r="R187" s="122" t="n"/>
      <c r="S187" s="122" t="n"/>
      <c r="T187" s="122" t="n"/>
      <c r="U187" s="122" t="n"/>
      <c r="V187" s="122" t="n"/>
      <c r="W187" s="122" t="n"/>
      <c r="X187" s="122" t="n"/>
    </row>
    <row r="188">
      <c r="A188" s="71" t="inlineStr">
        <is>
          <t>EBITDA (R$)</t>
        </is>
      </c>
      <c r="B188" s="122" t="n"/>
      <c r="C188" s="76" t="n"/>
      <c r="D188" s="76">
        <f>D187-D177-D178-D186-D179-D180-D181</f>
        <v/>
      </c>
      <c r="E188" s="76">
        <f>E187-E177-E178-E186-E179-E180-E181</f>
        <v/>
      </c>
      <c r="F188" s="76">
        <f>F187-F177-F178-F186-F179-F180-F181</f>
        <v/>
      </c>
      <c r="G188" s="76">
        <f>G187-G177-G178-G186-G179-G180-G181</f>
        <v/>
      </c>
      <c r="H188" s="76">
        <f>H187-H177-H178-H186-H179-H180-H181</f>
        <v/>
      </c>
      <c r="I188" s="76">
        <f>I187-I177-I178-I186-I179-I180-I181</f>
        <v/>
      </c>
      <c r="J188" s="76">
        <f>J187-J177-J178-J186-J179-J180-J181</f>
        <v/>
      </c>
      <c r="K188" s="76">
        <f>K187-K177-K178-K186-K179-K180-K181</f>
        <v/>
      </c>
      <c r="L188" s="76">
        <f>L187-L177-L178-L186-L179-L180-L181</f>
        <v/>
      </c>
      <c r="M188" s="76">
        <f>M187-M177-M178-M186-M179-M180-M181</f>
        <v/>
      </c>
      <c r="N188" s="122" t="n"/>
      <c r="O188" s="122" t="n"/>
      <c r="P188" s="122" t="n"/>
      <c r="Q188" s="122" t="n"/>
      <c r="R188" s="122" t="n"/>
      <c r="S188" s="122" t="n"/>
      <c r="T188" s="122" t="n"/>
      <c r="U188" s="122" t="n"/>
      <c r="V188" s="122" t="n"/>
      <c r="W188" s="122" t="n"/>
      <c r="X188" s="122" t="n"/>
    </row>
    <row r="189">
      <c r="A189" s="71" t="inlineStr">
        <is>
          <t>EBIT (R$)</t>
        </is>
      </c>
      <c r="B189" s="122" t="n"/>
      <c r="C189" s="76" t="n"/>
      <c r="D189" s="76">
        <f>D188-D182</f>
        <v/>
      </c>
      <c r="E189" s="76">
        <f>E188-E182</f>
        <v/>
      </c>
      <c r="F189" s="76">
        <f>F188-F182</f>
        <v/>
      </c>
      <c r="G189" s="76">
        <f>G188-G182</f>
        <v/>
      </c>
      <c r="H189" s="76">
        <f>H188-H182</f>
        <v/>
      </c>
      <c r="I189" s="76">
        <f>I188-I182</f>
        <v/>
      </c>
      <c r="J189" s="76">
        <f>J188-J182</f>
        <v/>
      </c>
      <c r="K189" s="76">
        <f>K188-K182</f>
        <v/>
      </c>
      <c r="L189" s="76">
        <f>L188-L182</f>
        <v/>
      </c>
      <c r="M189" s="76">
        <f>M188-M182</f>
        <v/>
      </c>
      <c r="N189" s="122" t="n"/>
      <c r="O189" s="122" t="n"/>
      <c r="P189" s="122" t="n"/>
      <c r="Q189" s="122" t="n"/>
      <c r="R189" s="122" t="n"/>
      <c r="S189" s="122" t="n"/>
      <c r="T189" s="122" t="n"/>
      <c r="U189" s="122" t="n"/>
      <c r="V189" s="122" t="n"/>
      <c r="W189" s="122" t="n"/>
      <c r="X189" s="122" t="n"/>
    </row>
    <row r="190">
      <c r="A190" s="71" t="inlineStr">
        <is>
          <t>IRPJ + adicional + CSLL (R$)</t>
        </is>
      </c>
      <c r="B190" s="122" t="n"/>
      <c r="C190" s="76" t="n"/>
      <c r="D190" s="76">
        <f>IF(D189&gt;0,'2. Inputs'!D58*D189+'2. Inputs'!D59*MAX(0,D189-'2. Inputs'!D60)+'2. Inputs'!D61*D189,0)</f>
        <v/>
      </c>
      <c r="E190" s="76">
        <f>IF(E189&gt;0,'2. Inputs'!E58*E189+'2. Inputs'!E59*MAX(0,E189-'2. Inputs'!E60)+'2. Inputs'!E61*E189,0)</f>
        <v/>
      </c>
      <c r="F190" s="76">
        <f>IF(F189&gt;0,'2. Inputs'!F58*F189+'2. Inputs'!F59*MAX(0,F189-'2. Inputs'!F60)+'2. Inputs'!F61*F189,0)</f>
        <v/>
      </c>
      <c r="G190" s="76">
        <f>IF(G189&gt;0,'2. Inputs'!G58*G189+'2. Inputs'!G59*MAX(0,G189-'2. Inputs'!G60)+'2. Inputs'!G61*G189,0)</f>
        <v/>
      </c>
      <c r="H190" s="76">
        <f>IF(H189&gt;0,'2. Inputs'!H58*H189+'2. Inputs'!H59*MAX(0,H189-'2. Inputs'!H60)+'2. Inputs'!H61*H189,0)</f>
        <v/>
      </c>
      <c r="I190" s="76">
        <f>IF(I189&gt;0,'2. Inputs'!I58*I189+'2. Inputs'!I59*MAX(0,I189-'2. Inputs'!I60)+'2. Inputs'!I61*I189,0)</f>
        <v/>
      </c>
      <c r="J190" s="76">
        <f>IF(J189&gt;0,'2. Inputs'!J58*J189+'2. Inputs'!J59*MAX(0,J189-'2. Inputs'!J60)+'2. Inputs'!J61*J189,0)</f>
        <v/>
      </c>
      <c r="K190" s="76">
        <f>IF(K189&gt;0,'2. Inputs'!K58*K189+'2. Inputs'!K59*MAX(0,K189-'2. Inputs'!K60)+'2. Inputs'!K61*K189,0)</f>
        <v/>
      </c>
      <c r="L190" s="76">
        <f>IF(L189&gt;0,'2. Inputs'!L58*L189+'2. Inputs'!L59*MAX(0,L189-'2. Inputs'!L60)+'2. Inputs'!L61*L189,0)</f>
        <v/>
      </c>
      <c r="M190" s="76">
        <f>IF(M189&gt;0,'2. Inputs'!M58*M189+'2. Inputs'!M59*MAX(0,M189-'2. Inputs'!M60)+'2. Inputs'!M61*M189,0)</f>
        <v/>
      </c>
      <c r="N190" s="122" t="n"/>
      <c r="O190" s="122" t="n"/>
      <c r="P190" s="122" t="n"/>
      <c r="Q190" s="122" t="n"/>
      <c r="R190" s="122" t="n"/>
      <c r="S190" s="122" t="n"/>
      <c r="T190" s="122" t="n"/>
      <c r="U190" s="122" t="n"/>
      <c r="V190" s="122" t="n"/>
      <c r="W190" s="122" t="n"/>
      <c r="X190" s="122" t="n"/>
    </row>
    <row r="191">
      <c r="A191" s="71" t="inlineStr">
        <is>
          <t>NOPAT (R$)</t>
        </is>
      </c>
      <c r="B191" s="122" t="n"/>
      <c r="C191" s="76" t="n"/>
      <c r="D191" s="76">
        <f>D189-D190</f>
        <v/>
      </c>
      <c r="E191" s="76">
        <f>E189-E190</f>
        <v/>
      </c>
      <c r="F191" s="76">
        <f>F189-F190</f>
        <v/>
      </c>
      <c r="G191" s="76">
        <f>G189-G190</f>
        <v/>
      </c>
      <c r="H191" s="76">
        <f>H189-H190</f>
        <v/>
      </c>
      <c r="I191" s="76">
        <f>I189-I190</f>
        <v/>
      </c>
      <c r="J191" s="76">
        <f>J189-J190</f>
        <v/>
      </c>
      <c r="K191" s="76">
        <f>K189-K190</f>
        <v/>
      </c>
      <c r="L191" s="76">
        <f>L189-L190</f>
        <v/>
      </c>
      <c r="M191" s="76">
        <f>M189-M190</f>
        <v/>
      </c>
      <c r="N191" s="122" t="n"/>
      <c r="O191" s="122" t="n"/>
      <c r="P191" s="122" t="n"/>
      <c r="Q191" s="122" t="n"/>
      <c r="R191" s="122" t="n"/>
      <c r="S191" s="122" t="n"/>
      <c r="T191" s="122" t="n"/>
      <c r="U191" s="122" t="n"/>
      <c r="V191" s="122" t="n"/>
      <c r="W191" s="122" t="n"/>
      <c r="X191" s="122" t="n"/>
    </row>
    <row r="192">
      <c r="A192" s="71" t="inlineStr">
        <is>
          <t>Capital de giro (R$)</t>
        </is>
      </c>
      <c r="B192" s="122" t="n"/>
      <c r="C192" s="76">
        <f>D192</f>
        <v/>
      </c>
      <c r="D192" s="76">
        <f>'2. Inputs'!D64/'2. Inputs'!D68*D185+'2. Inputs'!D65/'2. Inputs'!D68*(D177+D178)+'2. Inputs'!D67/'2. Inputs'!D68*(D177+D178+D186+D179+D180+D181)-'2. Inputs'!D66/'2. Inputs'!D68*(D177+D178)</f>
        <v/>
      </c>
      <c r="E192" s="76">
        <f>'2. Inputs'!E64/'2. Inputs'!E68*E185+'2. Inputs'!E65/'2. Inputs'!E68*(E177+E178)+'2. Inputs'!E67/'2. Inputs'!E68*(E177+E178+E186+E179+E180+E181)-'2. Inputs'!E66/'2. Inputs'!E68*(E177+E178)</f>
        <v/>
      </c>
      <c r="F192" s="76">
        <f>'2. Inputs'!F64/'2. Inputs'!F68*F185+'2. Inputs'!F65/'2. Inputs'!F68*(F177+F178)+'2. Inputs'!F67/'2. Inputs'!F68*(F177+F178+F186+F179+F180+F181)-'2. Inputs'!F66/'2. Inputs'!F68*(F177+F178)</f>
        <v/>
      </c>
      <c r="G192" s="76">
        <f>'2. Inputs'!G64/'2. Inputs'!G68*G185+'2. Inputs'!G65/'2. Inputs'!G68*(G177+G178)+'2. Inputs'!G67/'2. Inputs'!G68*(G177+G178+G186+G179+G180+G181)-'2. Inputs'!G66/'2. Inputs'!G68*(G177+G178)</f>
        <v/>
      </c>
      <c r="H192" s="76">
        <f>'2. Inputs'!H64/'2. Inputs'!H68*H185+'2. Inputs'!H65/'2. Inputs'!H68*(H177+H178)+'2. Inputs'!H67/'2. Inputs'!H68*(H177+H178+H186+H179+H180+H181)-'2. Inputs'!H66/'2. Inputs'!H68*(H177+H178)</f>
        <v/>
      </c>
      <c r="I192" s="76">
        <f>'2. Inputs'!I64/'2. Inputs'!I68*I185+'2. Inputs'!I65/'2. Inputs'!I68*(I177+I178)+'2. Inputs'!I67/'2. Inputs'!I68*(I177+I178+I186+I179+I180+I181)-'2. Inputs'!I66/'2. Inputs'!I68*(I177+I178)</f>
        <v/>
      </c>
      <c r="J192" s="76">
        <f>'2. Inputs'!J64/'2. Inputs'!J68*J185+'2. Inputs'!J65/'2. Inputs'!J68*(J177+J178)+'2. Inputs'!J67/'2. Inputs'!J68*(J177+J178+J186+J179+J180+J181)-'2. Inputs'!J66/'2. Inputs'!J68*(J177+J178)</f>
        <v/>
      </c>
      <c r="K192" s="76">
        <f>'2. Inputs'!K64/'2. Inputs'!K68*K185+'2. Inputs'!K65/'2. Inputs'!K68*(K177+K178)+'2. Inputs'!K67/'2. Inputs'!K68*(K177+K178+K186+K179+K180+K181)-'2. Inputs'!K66/'2. Inputs'!K68*(K177+K178)</f>
        <v/>
      </c>
      <c r="L192" s="76">
        <f>'2. Inputs'!L64/'2. Inputs'!L68*L185+'2. Inputs'!L65/'2. Inputs'!L68*(L177+L178)+'2. Inputs'!L67/'2. Inputs'!L68*(L177+L178+L186+L179+L180+L181)-'2. Inputs'!L66/'2. Inputs'!L68*(L177+L178)</f>
        <v/>
      </c>
      <c r="M192" s="76">
        <f>'2. Inputs'!M64/'2. Inputs'!M68*M185+'2. Inputs'!M65/'2. Inputs'!M68*(M177+M178)+'2. Inputs'!M67/'2. Inputs'!M68*(M177+M178+M186+M179+M180+M181)-'2. Inputs'!M66/'2. Inputs'!M68*(M177+M178)</f>
        <v/>
      </c>
      <c r="N192" s="122" t="n"/>
      <c r="O192" s="122" t="n"/>
      <c r="P192" s="122" t="n"/>
      <c r="Q192" s="122" t="n"/>
      <c r="R192" s="122" t="n"/>
      <c r="S192" s="122" t="n"/>
      <c r="T192" s="122" t="n"/>
      <c r="U192" s="122" t="n"/>
      <c r="V192" s="122" t="n"/>
      <c r="W192" s="122" t="n"/>
      <c r="X192" s="122" t="n"/>
    </row>
    <row r="193">
      <c r="A193" s="71" t="inlineStr">
        <is>
          <t>Δ capital de giro (R$)</t>
        </is>
      </c>
      <c r="B193" s="122" t="n"/>
      <c r="C193" s="76">
        <f>C192</f>
        <v/>
      </c>
      <c r="D193" s="76">
        <f>D192-C192</f>
        <v/>
      </c>
      <c r="E193" s="76">
        <f>E192-D192</f>
        <v/>
      </c>
      <c r="F193" s="76">
        <f>F192-E192</f>
        <v/>
      </c>
      <c r="G193" s="76">
        <f>G192-F192</f>
        <v/>
      </c>
      <c r="H193" s="76">
        <f>H192-G192</f>
        <v/>
      </c>
      <c r="I193" s="76">
        <f>I192-H192</f>
        <v/>
      </c>
      <c r="J193" s="76">
        <f>J192-I192</f>
        <v/>
      </c>
      <c r="K193" s="76">
        <f>K192-J192</f>
        <v/>
      </c>
      <c r="L193" s="76">
        <f>L192-K192</f>
        <v/>
      </c>
      <c r="M193" s="76">
        <f>M192-L192</f>
        <v/>
      </c>
      <c r="N193" s="122" t="n"/>
      <c r="O193" s="122" t="n"/>
      <c r="P193" s="122" t="n"/>
      <c r="Q193" s="122" t="n"/>
      <c r="R193" s="122" t="n"/>
      <c r="S193" s="122" t="n"/>
      <c r="T193" s="122" t="n"/>
      <c r="U193" s="122" t="n"/>
      <c r="V193" s="122" t="n"/>
      <c r="W193" s="122" t="n"/>
      <c r="X193" s="122" t="n"/>
    </row>
    <row r="194">
      <c r="A194" s="71" t="inlineStr">
        <is>
          <t>Fluxo de caixa livre (R$)</t>
        </is>
      </c>
      <c r="B194" s="122" t="n"/>
      <c r="C194" s="83">
        <f>-C193-'2. Inputs'!C53</f>
        <v/>
      </c>
      <c r="D194" s="83">
        <f>D191+D182-D193-'2. Inputs'!D53+IF(D$172=10,D192,0)</f>
        <v/>
      </c>
      <c r="E194" s="83">
        <f>E191+E182-E193-'2. Inputs'!E53+IF(E$172=10,E192,0)</f>
        <v/>
      </c>
      <c r="F194" s="83">
        <f>F191+F182-F193-'2. Inputs'!F53+IF(F$172=10,F192,0)</f>
        <v/>
      </c>
      <c r="G194" s="83">
        <f>G191+G182-G193-'2. Inputs'!G53+IF(G$172=10,G192,0)</f>
        <v/>
      </c>
      <c r="H194" s="83">
        <f>H191+H182-H193-'2. Inputs'!H53+IF(H$172=10,H192,0)</f>
        <v/>
      </c>
      <c r="I194" s="83">
        <f>I191+I182-I193-'2. Inputs'!I53+IF(I$172=10,I192,0)</f>
        <v/>
      </c>
      <c r="J194" s="83">
        <f>J191+J182-J193-'2. Inputs'!J53+IF(J$172=10,J192,0)</f>
        <v/>
      </c>
      <c r="K194" s="83">
        <f>K191+K182-K193-'2. Inputs'!K53+IF(K$172=10,K192,0)</f>
        <v/>
      </c>
      <c r="L194" s="83">
        <f>L191+L182-L193-'2. Inputs'!L53+IF(L$172=10,L192,0)</f>
        <v/>
      </c>
      <c r="M194" s="83">
        <f>M191+M182-M193-'2. Inputs'!M53+IF(M$172=10,M192,0)</f>
        <v/>
      </c>
      <c r="N194" s="84">
        <f>C194/(1+'2. Inputs'!$C$81)^C172</f>
        <v/>
      </c>
      <c r="O194" s="84">
        <f>N194+D194/(1+'2. Inputs'!$C$81)^D172</f>
        <v/>
      </c>
      <c r="P194" s="84">
        <f>O194+E194/(1+'2. Inputs'!$C$81)^E172</f>
        <v/>
      </c>
      <c r="Q194" s="84">
        <f>P194+F194/(1+'2. Inputs'!$C$81)^F172</f>
        <v/>
      </c>
      <c r="R194" s="84">
        <f>Q194+G194/(1+'2. Inputs'!$C$81)^G172</f>
        <v/>
      </c>
      <c r="S194" s="84">
        <f>R194+H194/(1+'2. Inputs'!$C$81)^H172</f>
        <v/>
      </c>
      <c r="T194" s="84">
        <f>S194+I194/(1+'2. Inputs'!$C$81)^I172</f>
        <v/>
      </c>
      <c r="U194" s="84">
        <f>T194+J194/(1+'2. Inputs'!$C$81)^J172</f>
        <v/>
      </c>
      <c r="V194" s="84">
        <f>U194+K194/(1+'2. Inputs'!$C$81)^K172</f>
        <v/>
      </c>
      <c r="W194" s="84">
        <f>V194+L194/(1+'2. Inputs'!$C$81)^L172</f>
        <v/>
      </c>
      <c r="X194" s="84">
        <f>W194+M194/(1+'2. Inputs'!$C$81)^M172</f>
        <v/>
      </c>
    </row>
    <row r="195">
      <c r="A195" s="122" t="n"/>
      <c r="B195" s="122" t="n"/>
      <c r="C195" s="122" t="n"/>
      <c r="D195" s="122" t="n"/>
      <c r="E195" s="122" t="n"/>
      <c r="F195" s="122" t="n"/>
      <c r="G195" s="122" t="n"/>
      <c r="H195" s="122" t="n"/>
      <c r="I195" s="122" t="n"/>
      <c r="J195" s="122" t="n"/>
      <c r="K195" s="122" t="n"/>
      <c r="L195" s="122" t="n"/>
      <c r="M195" s="122" t="n"/>
      <c r="N195" s="122" t="n"/>
      <c r="O195" s="122" t="n"/>
      <c r="P195" s="122" t="n"/>
      <c r="Q195" s="122" t="n"/>
      <c r="R195" s="122" t="n"/>
      <c r="S195" s="122" t="n"/>
      <c r="T195" s="122" t="n"/>
      <c r="U195" s="122" t="n"/>
      <c r="V195" s="122" t="n"/>
      <c r="W195" s="122" t="n"/>
      <c r="X195" s="122" t="n"/>
    </row>
    <row r="196">
      <c r="A196" s="15" t="inlineStr">
        <is>
          <t>CORRIDA 8 — Custo variável +10%</t>
        </is>
      </c>
      <c r="B196" s="126" t="n"/>
      <c r="C196" s="126" t="n"/>
      <c r="D196" s="126" t="n"/>
      <c r="E196" s="126" t="n"/>
      <c r="F196" s="126" t="n"/>
      <c r="G196" s="126" t="n"/>
      <c r="H196" s="126" t="n"/>
      <c r="I196" s="126" t="n"/>
      <c r="J196" s="126" t="n"/>
      <c r="K196" s="126" t="n"/>
      <c r="L196" s="126" t="n"/>
      <c r="M196" s="126" t="n"/>
      <c r="N196" s="122" t="n"/>
      <c r="O196" s="122" t="n"/>
      <c r="P196" s="122" t="n"/>
      <c r="Q196" s="122" t="n"/>
      <c r="R196" s="122" t="n"/>
      <c r="S196" s="122" t="n"/>
      <c r="T196" s="122" t="n"/>
      <c r="U196" s="122" t="n"/>
      <c r="V196" s="122" t="n"/>
      <c r="W196" s="122" t="n"/>
      <c r="X196" s="122" t="n"/>
    </row>
    <row r="197">
      <c r="A197" s="78" t="inlineStr">
        <is>
          <t>Ano</t>
        </is>
      </c>
      <c r="B197" s="122" t="n"/>
      <c r="C197" s="79" t="n">
        <v>0</v>
      </c>
      <c r="D197" s="79" t="n">
        <v>1</v>
      </c>
      <c r="E197" s="79" t="n">
        <v>2</v>
      </c>
      <c r="F197" s="79" t="n">
        <v>3</v>
      </c>
      <c r="G197" s="79" t="n">
        <v>4</v>
      </c>
      <c r="H197" s="79" t="n">
        <v>5</v>
      </c>
      <c r="I197" s="79" t="n">
        <v>6</v>
      </c>
      <c r="J197" s="79" t="n">
        <v>7</v>
      </c>
      <c r="K197" s="79" t="n">
        <v>8</v>
      </c>
      <c r="L197" s="79" t="n">
        <v>9</v>
      </c>
      <c r="M197" s="79" t="n">
        <v>10</v>
      </c>
      <c r="N197" s="122" t="n"/>
      <c r="O197" s="122" t="n"/>
      <c r="P197" s="122" t="n"/>
      <c r="Q197" s="122" t="n"/>
      <c r="R197" s="122" t="n"/>
      <c r="S197" s="122" t="n"/>
      <c r="T197" s="122" t="n"/>
      <c r="U197" s="122" t="n"/>
      <c r="V197" s="122" t="n"/>
      <c r="W197" s="122" t="n"/>
      <c r="X197" s="122" t="n"/>
    </row>
    <row r="198">
      <c r="A198" s="71" t="inlineStr">
        <is>
          <t>Volume (un)</t>
        </is>
      </c>
      <c r="B198" s="122" t="n"/>
      <c r="C198" s="76" t="n"/>
      <c r="D198" s="76">
        <f>'2. Inputs'!D11*(1+$C$14)</f>
        <v/>
      </c>
      <c r="E198" s="76">
        <f>'2. Inputs'!E11*(1+$C$14)</f>
        <v/>
      </c>
      <c r="F198" s="76">
        <f>'2. Inputs'!F11*(1+$C$14)</f>
        <v/>
      </c>
      <c r="G198" s="76">
        <f>'2. Inputs'!G11*(1+$C$14)</f>
        <v/>
      </c>
      <c r="H198" s="76">
        <f>'2. Inputs'!H11*(1+$C$14)</f>
        <v/>
      </c>
      <c r="I198" s="76">
        <f>'2. Inputs'!I11*(1+$C$14)</f>
        <v/>
      </c>
      <c r="J198" s="76">
        <f>'2. Inputs'!J11*(1+$C$14)</f>
        <v/>
      </c>
      <c r="K198" s="76">
        <f>'2. Inputs'!K11*(1+$C$14)</f>
        <v/>
      </c>
      <c r="L198" s="76">
        <f>'2. Inputs'!L11*(1+$C$14)</f>
        <v/>
      </c>
      <c r="M198" s="76">
        <f>'2. Inputs'!M11*(1+$C$14)</f>
        <v/>
      </c>
      <c r="N198" s="122" t="n"/>
      <c r="O198" s="122" t="n"/>
      <c r="P198" s="122" t="n"/>
      <c r="Q198" s="122" t="n"/>
      <c r="R198" s="122" t="n"/>
      <c r="S198" s="122" t="n"/>
      <c r="T198" s="122" t="n"/>
      <c r="U198" s="122" t="n"/>
      <c r="V198" s="122" t="n"/>
      <c r="W198" s="122" t="n"/>
      <c r="X198" s="122" t="n"/>
    </row>
    <row r="199">
      <c r="A199" s="71" t="inlineStr">
        <is>
          <t>Frete unitário (R$/un)</t>
        </is>
      </c>
      <c r="B199" s="80">
        <f>('2. Inputs'!D25*'2. Inputs'!$C$96+'2. Inputs'!D26*'2. Inputs'!$C$97+'2. Inputs'!D27*'2. Inputs'!$C$98+'2. Inputs'!D28*'2. Inputs'!$C$99)/'2. Inputs'!$C$100</f>
        <v/>
      </c>
      <c r="C199" s="81" t="n"/>
      <c r="D199" s="81">
        <f>$G$14*'2. Inputs'!D24+(1-$G$14)*$B$199</f>
        <v/>
      </c>
      <c r="E199" s="81">
        <f>$G$14*'2. Inputs'!E24+(1-$G$14)*$B$199</f>
        <v/>
      </c>
      <c r="F199" s="81">
        <f>$G$14*'2. Inputs'!F24+(1-$G$14)*$B$199</f>
        <v/>
      </c>
      <c r="G199" s="81">
        <f>$G$14*'2. Inputs'!G24+(1-$G$14)*$B$199</f>
        <v/>
      </c>
      <c r="H199" s="81">
        <f>$G$14*'2. Inputs'!H24+(1-$G$14)*$B$199</f>
        <v/>
      </c>
      <c r="I199" s="81">
        <f>$G$14*'2. Inputs'!I24+(1-$G$14)*$B$199</f>
        <v/>
      </c>
      <c r="J199" s="81">
        <f>$G$14*'2. Inputs'!J24+(1-$G$14)*$B$199</f>
        <v/>
      </c>
      <c r="K199" s="81">
        <f>$G$14*'2. Inputs'!K24+(1-$G$14)*$B$199</f>
        <v/>
      </c>
      <c r="L199" s="81">
        <f>$G$14*'2. Inputs'!L24+(1-$G$14)*$B$199</f>
        <v/>
      </c>
      <c r="M199" s="81">
        <f>$G$14*'2. Inputs'!M24+(1-$G$14)*$B$199</f>
        <v/>
      </c>
      <c r="N199" s="122" t="n"/>
      <c r="O199" s="2" t="inlineStr">
        <is>
          <t>Coluna B: frete unitário médio fora do Sudeste, nas proporções da origem (Sul 5%, NE 3%, N 2%, CO 10%).</t>
        </is>
      </c>
      <c r="P199" s="122" t="n"/>
      <c r="Q199" s="122" t="n"/>
      <c r="R199" s="122" t="n"/>
      <c r="S199" s="122" t="n"/>
      <c r="T199" s="122" t="n"/>
      <c r="U199" s="122" t="n"/>
      <c r="V199" s="122" t="n"/>
      <c r="W199" s="122" t="n"/>
      <c r="X199" s="122" t="n"/>
    </row>
    <row r="200">
      <c r="A200" s="71" t="inlineStr">
        <is>
          <t>Custo variável unitário (R$/un)</t>
        </is>
      </c>
      <c r="B200" s="122" t="n"/>
      <c r="C200" s="82" t="n"/>
      <c r="D200" s="82">
        <f>'2. Inputs'!D43*(1+$E$14)</f>
        <v/>
      </c>
      <c r="E200" s="82">
        <f>'2. Inputs'!E43*(1+$E$14)</f>
        <v/>
      </c>
      <c r="F200" s="82">
        <f>'2. Inputs'!F43*(1+$E$14)</f>
        <v/>
      </c>
      <c r="G200" s="82">
        <f>'2. Inputs'!G43*(1+$E$14)</f>
        <v/>
      </c>
      <c r="H200" s="82">
        <f>'2. Inputs'!H43*(1+$E$14)</f>
        <v/>
      </c>
      <c r="I200" s="82">
        <f>'2. Inputs'!I43*(1+$E$14)</f>
        <v/>
      </c>
      <c r="J200" s="82">
        <f>'2. Inputs'!J43*(1+$E$14)</f>
        <v/>
      </c>
      <c r="K200" s="82">
        <f>'2. Inputs'!K43*(1+$E$14)</f>
        <v/>
      </c>
      <c r="L200" s="82">
        <f>'2. Inputs'!L43*(1+$E$14)</f>
        <v/>
      </c>
      <c r="M200" s="82">
        <f>'2. Inputs'!M43*(1+$E$14)</f>
        <v/>
      </c>
      <c r="N200" s="122" t="n"/>
      <c r="O200" s="122" t="n"/>
      <c r="P200" s="122" t="n"/>
      <c r="Q200" s="122" t="n"/>
      <c r="R200" s="122" t="n"/>
      <c r="S200" s="122" t="n"/>
      <c r="T200" s="122" t="n"/>
      <c r="U200" s="122" t="n"/>
      <c r="V200" s="122" t="n"/>
      <c r="W200" s="122" t="n"/>
      <c r="X200" s="122" t="n"/>
    </row>
    <row r="201">
      <c r="A201" s="71" t="inlineStr">
        <is>
          <t>Markup total (%)</t>
        </is>
      </c>
      <c r="B201" s="122" t="n"/>
      <c r="C201" s="72" t="n"/>
      <c r="D201" s="72">
        <f>'2. Inputs'!D32+'2. Inputs'!D33+'2. Inputs'!D34+'2. Inputs'!D35+'2. Inputs'!D36+$D$14</f>
        <v/>
      </c>
      <c r="E201" s="72">
        <f>'2. Inputs'!E32+'2. Inputs'!E33+'2. Inputs'!E34+'2. Inputs'!E35+'2. Inputs'!E36+$D$14</f>
        <v/>
      </c>
      <c r="F201" s="72">
        <f>'2. Inputs'!F32+'2. Inputs'!F33+'2. Inputs'!F34+'2. Inputs'!F35+'2. Inputs'!F36+$D$14</f>
        <v/>
      </c>
      <c r="G201" s="72">
        <f>'2. Inputs'!G32+'2. Inputs'!G33+'2. Inputs'!G34+'2. Inputs'!G35+'2. Inputs'!G36+$D$14</f>
        <v/>
      </c>
      <c r="H201" s="72">
        <f>'2. Inputs'!H32+'2. Inputs'!H33+'2. Inputs'!H34+'2. Inputs'!H35+'2. Inputs'!H36+$D$14</f>
        <v/>
      </c>
      <c r="I201" s="72">
        <f>'2. Inputs'!I32+'2. Inputs'!I33+'2. Inputs'!I34+'2. Inputs'!I35+'2. Inputs'!I36+$D$14</f>
        <v/>
      </c>
      <c r="J201" s="72">
        <f>'2. Inputs'!J32+'2. Inputs'!J33+'2. Inputs'!J34+'2. Inputs'!J35+'2. Inputs'!J36+$D$14</f>
        <v/>
      </c>
      <c r="K201" s="72">
        <f>'2. Inputs'!K32+'2. Inputs'!K33+'2. Inputs'!K34+'2. Inputs'!K35+'2. Inputs'!K36+$D$14</f>
        <v/>
      </c>
      <c r="L201" s="72">
        <f>'2. Inputs'!L32+'2. Inputs'!L33+'2. Inputs'!L34+'2. Inputs'!L35+'2. Inputs'!L36+$D$14</f>
        <v/>
      </c>
      <c r="M201" s="72">
        <f>'2. Inputs'!M32+'2. Inputs'!M33+'2. Inputs'!M34+'2. Inputs'!M35+'2. Inputs'!M36+$D$14</f>
        <v/>
      </c>
      <c r="N201" s="122" t="n"/>
      <c r="O201" s="122" t="n"/>
      <c r="P201" s="122" t="n"/>
      <c r="Q201" s="122" t="n"/>
      <c r="R201" s="122" t="n"/>
      <c r="S201" s="122" t="n"/>
      <c r="T201" s="122" t="n"/>
      <c r="U201" s="122" t="n"/>
      <c r="V201" s="122" t="n"/>
      <c r="W201" s="122" t="n"/>
      <c r="X201" s="122" t="n"/>
    </row>
    <row r="202">
      <c r="A202" s="71" t="inlineStr">
        <is>
          <t>Custo variável (R$)</t>
        </is>
      </c>
      <c r="B202" s="122" t="n"/>
      <c r="C202" s="76" t="n"/>
      <c r="D202" s="76">
        <f>D198*D200</f>
        <v/>
      </c>
      <c r="E202" s="76">
        <f>E198*E200</f>
        <v/>
      </c>
      <c r="F202" s="76">
        <f>F198*F200</f>
        <v/>
      </c>
      <c r="G202" s="76">
        <f>G198*G200</f>
        <v/>
      </c>
      <c r="H202" s="76">
        <f>H198*H200</f>
        <v/>
      </c>
      <c r="I202" s="76">
        <f>I198*I200</f>
        <v/>
      </c>
      <c r="J202" s="76">
        <f>J198*J200</f>
        <v/>
      </c>
      <c r="K202" s="76">
        <f>K198*K200</f>
        <v/>
      </c>
      <c r="L202" s="76">
        <f>L198*L200</f>
        <v/>
      </c>
      <c r="M202" s="76">
        <f>M198*M200</f>
        <v/>
      </c>
      <c r="N202" s="122" t="n"/>
      <c r="O202" s="122" t="n"/>
      <c r="P202" s="122" t="n"/>
      <c r="Q202" s="122" t="n"/>
      <c r="R202" s="122" t="n"/>
      <c r="S202" s="122" t="n"/>
      <c r="T202" s="122" t="n"/>
      <c r="U202" s="122" t="n"/>
      <c r="V202" s="122" t="n"/>
      <c r="W202" s="122" t="n"/>
      <c r="X202" s="122" t="n"/>
    </row>
    <row r="203">
      <c r="A203" s="71" t="inlineStr">
        <is>
          <t>Frete (R$)</t>
        </is>
      </c>
      <c r="B203" s="122" t="n"/>
      <c r="C203" s="76" t="n"/>
      <c r="D203" s="76">
        <f>D198*D199</f>
        <v/>
      </c>
      <c r="E203" s="76">
        <f>E198*E199</f>
        <v/>
      </c>
      <c r="F203" s="76">
        <f>F198*F199</f>
        <v/>
      </c>
      <c r="G203" s="76">
        <f>G198*G199</f>
        <v/>
      </c>
      <c r="H203" s="76">
        <f>H198*H199</f>
        <v/>
      </c>
      <c r="I203" s="76">
        <f>I198*I199</f>
        <v/>
      </c>
      <c r="J203" s="76">
        <f>J198*J199</f>
        <v/>
      </c>
      <c r="K203" s="76">
        <f>K198*K199</f>
        <v/>
      </c>
      <c r="L203" s="76">
        <f>L198*L199</f>
        <v/>
      </c>
      <c r="M203" s="76">
        <f>M198*M199</f>
        <v/>
      </c>
      <c r="N203" s="122" t="n"/>
      <c r="O203" s="122" t="n"/>
      <c r="P203" s="122" t="n"/>
      <c r="Q203" s="122" t="n"/>
      <c r="R203" s="122" t="n"/>
      <c r="S203" s="122" t="n"/>
      <c r="T203" s="122" t="n"/>
      <c r="U203" s="122" t="n"/>
      <c r="V203" s="122" t="n"/>
      <c r="W203" s="122" t="n"/>
      <c r="X203" s="122" t="n"/>
    </row>
    <row r="204">
      <c r="A204" s="71" t="inlineStr">
        <is>
          <t>Custo fixo de estrutura (R$)</t>
        </is>
      </c>
      <c r="B204" s="122" t="n"/>
      <c r="C204" s="76" t="n"/>
      <c r="D204" s="76">
        <f>'2. Inputs'!D46</f>
        <v/>
      </c>
      <c r="E204" s="76">
        <f>'2. Inputs'!E46</f>
        <v/>
      </c>
      <c r="F204" s="76">
        <f>'2. Inputs'!F46</f>
        <v/>
      </c>
      <c r="G204" s="76">
        <f>'2. Inputs'!G46</f>
        <v/>
      </c>
      <c r="H204" s="76">
        <f>'2. Inputs'!H46</f>
        <v/>
      </c>
      <c r="I204" s="76">
        <f>'2. Inputs'!I46</f>
        <v/>
      </c>
      <c r="J204" s="76">
        <f>'2. Inputs'!J46</f>
        <v/>
      </c>
      <c r="K204" s="76">
        <f>'2. Inputs'!K46</f>
        <v/>
      </c>
      <c r="L204" s="76">
        <f>'2. Inputs'!L46</f>
        <v/>
      </c>
      <c r="M204" s="76">
        <f>'2. Inputs'!M46</f>
        <v/>
      </c>
      <c r="N204" s="122" t="n"/>
      <c r="O204" s="122" t="n"/>
      <c r="P204" s="122" t="n"/>
      <c r="Q204" s="122" t="n"/>
      <c r="R204" s="122" t="n"/>
      <c r="S204" s="122" t="n"/>
      <c r="T204" s="122" t="n"/>
      <c r="U204" s="122" t="n"/>
      <c r="V204" s="122" t="n"/>
      <c r="W204" s="122" t="n"/>
      <c r="X204" s="122" t="n"/>
    </row>
    <row r="205">
      <c r="A205" s="71" t="inlineStr">
        <is>
          <t>Manutenção e seguro (R$)</t>
        </is>
      </c>
      <c r="B205" s="122" t="n"/>
      <c r="C205" s="76" t="n"/>
      <c r="D205" s="76">
        <f>('2. Inputs'!D47+'2. Inputs'!D48)*'2. Inputs'!D54</f>
        <v/>
      </c>
      <c r="E205" s="76">
        <f>('2. Inputs'!E47+'2. Inputs'!E48)*'2. Inputs'!E54</f>
        <v/>
      </c>
      <c r="F205" s="76">
        <f>('2. Inputs'!F47+'2. Inputs'!F48)*'2. Inputs'!F54</f>
        <v/>
      </c>
      <c r="G205" s="76">
        <f>('2. Inputs'!G47+'2. Inputs'!G48)*'2. Inputs'!G54</f>
        <v/>
      </c>
      <c r="H205" s="76">
        <f>('2. Inputs'!H47+'2. Inputs'!H48)*'2. Inputs'!H54</f>
        <v/>
      </c>
      <c r="I205" s="76">
        <f>('2. Inputs'!I47+'2. Inputs'!I48)*'2. Inputs'!I54</f>
        <v/>
      </c>
      <c r="J205" s="76">
        <f>('2. Inputs'!J47+'2. Inputs'!J48)*'2. Inputs'!J54</f>
        <v/>
      </c>
      <c r="K205" s="76">
        <f>('2. Inputs'!K47+'2. Inputs'!K48)*'2. Inputs'!K54</f>
        <v/>
      </c>
      <c r="L205" s="76">
        <f>('2. Inputs'!L47+'2. Inputs'!L48)*'2. Inputs'!L54</f>
        <v/>
      </c>
      <c r="M205" s="76">
        <f>('2. Inputs'!M47+'2. Inputs'!M48)*'2. Inputs'!M54</f>
        <v/>
      </c>
      <c r="N205" s="122" t="n"/>
      <c r="O205" s="122" t="n"/>
      <c r="P205" s="122" t="n"/>
      <c r="Q205" s="122" t="n"/>
      <c r="R205" s="122" t="n"/>
      <c r="S205" s="122" t="n"/>
      <c r="T205" s="122" t="n"/>
      <c r="U205" s="122" t="n"/>
      <c r="V205" s="122" t="n"/>
      <c r="W205" s="122" t="n"/>
      <c r="X205" s="122" t="n"/>
    </row>
    <row r="206">
      <c r="A206" s="71" t="inlineStr">
        <is>
          <t>Contingência (R$)</t>
        </is>
      </c>
      <c r="B206" s="122" t="n"/>
      <c r="C206" s="76" t="n"/>
      <c r="D206" s="76">
        <f>$F$14*'2. Inputs'!D54</f>
        <v/>
      </c>
      <c r="E206" s="76">
        <f>$F$14*'2. Inputs'!E54</f>
        <v/>
      </c>
      <c r="F206" s="76">
        <f>$F$14*'2. Inputs'!F54</f>
        <v/>
      </c>
      <c r="G206" s="76">
        <f>$F$14*'2. Inputs'!G54</f>
        <v/>
      </c>
      <c r="H206" s="76">
        <f>$F$14*'2. Inputs'!H54</f>
        <v/>
      </c>
      <c r="I206" s="76">
        <f>$F$14*'2. Inputs'!I54</f>
        <v/>
      </c>
      <c r="J206" s="76">
        <f>$F$14*'2. Inputs'!J54</f>
        <v/>
      </c>
      <c r="K206" s="76">
        <f>$F$14*'2. Inputs'!K54</f>
        <v/>
      </c>
      <c r="L206" s="76">
        <f>$F$14*'2. Inputs'!L54</f>
        <v/>
      </c>
      <c r="M206" s="76">
        <f>$F$14*'2. Inputs'!M54</f>
        <v/>
      </c>
      <c r="N206" s="122" t="n"/>
      <c r="O206" s="122" t="n"/>
      <c r="P206" s="122" t="n"/>
      <c r="Q206" s="122" t="n"/>
      <c r="R206" s="122" t="n"/>
      <c r="S206" s="122" t="n"/>
      <c r="T206" s="122" t="n"/>
      <c r="U206" s="122" t="n"/>
      <c r="V206" s="122" t="n"/>
      <c r="W206" s="122" t="n"/>
      <c r="X206" s="122" t="n"/>
    </row>
    <row r="207">
      <c r="A207" s="71" t="inlineStr">
        <is>
          <t>Depreciação (R$)</t>
        </is>
      </c>
      <c r="B207" s="122" t="n"/>
      <c r="C207" s="76" t="n"/>
      <c r="D207" s="76">
        <f>'3. Depreciacao'!D31</f>
        <v/>
      </c>
      <c r="E207" s="76">
        <f>'3. Depreciacao'!E31</f>
        <v/>
      </c>
      <c r="F207" s="76">
        <f>'3. Depreciacao'!F31</f>
        <v/>
      </c>
      <c r="G207" s="76">
        <f>'3. Depreciacao'!G31</f>
        <v/>
      </c>
      <c r="H207" s="76">
        <f>'3. Depreciacao'!H31</f>
        <v/>
      </c>
      <c r="I207" s="76">
        <f>'3. Depreciacao'!I31</f>
        <v/>
      </c>
      <c r="J207" s="76">
        <f>'3. Depreciacao'!J31</f>
        <v/>
      </c>
      <c r="K207" s="76">
        <f>'3. Depreciacao'!K31</f>
        <v/>
      </c>
      <c r="L207" s="76">
        <f>'3. Depreciacao'!L31</f>
        <v/>
      </c>
      <c r="M207" s="76">
        <f>'3. Depreciacao'!M31</f>
        <v/>
      </c>
      <c r="N207" s="122" t="n"/>
      <c r="O207" s="122" t="n"/>
      <c r="P207" s="122" t="n"/>
      <c r="Q207" s="122" t="n"/>
      <c r="R207" s="122" t="n"/>
      <c r="S207" s="122" t="n"/>
      <c r="T207" s="122" t="n"/>
      <c r="U207" s="122" t="n"/>
      <c r="V207" s="122" t="n"/>
      <c r="W207" s="122" t="n"/>
      <c r="X207" s="122" t="n"/>
    </row>
    <row r="208">
      <c r="A208" s="71" t="inlineStr">
        <is>
          <t>Custo total (R$)</t>
        </is>
      </c>
      <c r="B208" s="122" t="n"/>
      <c r="C208" s="76" t="n"/>
      <c r="D208" s="76">
        <f>SUM(D202:D207)</f>
        <v/>
      </c>
      <c r="E208" s="76">
        <f>SUM(E202:E207)</f>
        <v/>
      </c>
      <c r="F208" s="76">
        <f>SUM(F202:F207)</f>
        <v/>
      </c>
      <c r="G208" s="76">
        <f>SUM(G202:G207)</f>
        <v/>
      </c>
      <c r="H208" s="76">
        <f>SUM(H202:H207)</f>
        <v/>
      </c>
      <c r="I208" s="76">
        <f>SUM(I202:I207)</f>
        <v/>
      </c>
      <c r="J208" s="76">
        <f>SUM(J202:J207)</f>
        <v/>
      </c>
      <c r="K208" s="76">
        <f>SUM(K202:K207)</f>
        <v/>
      </c>
      <c r="L208" s="76">
        <f>SUM(L202:L207)</f>
        <v/>
      </c>
      <c r="M208" s="76">
        <f>SUM(M202:M207)</f>
        <v/>
      </c>
      <c r="N208" s="122" t="n"/>
      <c r="O208" s="122" t="n"/>
      <c r="P208" s="122" t="n"/>
      <c r="Q208" s="122" t="n"/>
      <c r="R208" s="122" t="n"/>
      <c r="S208" s="122" t="n"/>
      <c r="T208" s="122" t="n"/>
      <c r="U208" s="122" t="n"/>
      <c r="V208" s="122" t="n"/>
      <c r="W208" s="122" t="n"/>
      <c r="X208" s="122" t="n"/>
    </row>
    <row r="209">
      <c r="A209" s="71" t="inlineStr">
        <is>
          <t>Preço bruto unitário (R$/un)</t>
        </is>
      </c>
      <c r="B209" s="122" t="n"/>
      <c r="C209" s="82" t="n"/>
      <c r="D209" s="82">
        <f>IF('2. Inputs'!$C$38=1,D208/D198/(1-D201),'2. Inputs'!D39)</f>
        <v/>
      </c>
      <c r="E209" s="82">
        <f>IF('2. Inputs'!$C$38=1,E208/E198/(1-E201),'2. Inputs'!E39)</f>
        <v/>
      </c>
      <c r="F209" s="82">
        <f>IF('2. Inputs'!$C$38=1,F208/F198/(1-F201),'2. Inputs'!F39)</f>
        <v/>
      </c>
      <c r="G209" s="82">
        <f>IF('2. Inputs'!$C$38=1,G208/G198/(1-G201),'2. Inputs'!G39)</f>
        <v/>
      </c>
      <c r="H209" s="82">
        <f>IF('2. Inputs'!$C$38=1,H208/H198/(1-H201),'2. Inputs'!H39)</f>
        <v/>
      </c>
      <c r="I209" s="82">
        <f>IF('2. Inputs'!$C$38=1,I208/I198/(1-I201),'2. Inputs'!I39)</f>
        <v/>
      </c>
      <c r="J209" s="82">
        <f>IF('2. Inputs'!$C$38=1,J208/J198/(1-J201),'2. Inputs'!J39)</f>
        <v/>
      </c>
      <c r="K209" s="82">
        <f>IF('2. Inputs'!$C$38=1,K208/K198/(1-K201),'2. Inputs'!K39)</f>
        <v/>
      </c>
      <c r="L209" s="82">
        <f>IF('2. Inputs'!$C$38=1,L208/L198/(1-L201),'2. Inputs'!L39)</f>
        <v/>
      </c>
      <c r="M209" s="82">
        <f>IF('2. Inputs'!$C$38=1,M208/M198/(1-M201),'2. Inputs'!M39)</f>
        <v/>
      </c>
      <c r="N209" s="122" t="n"/>
      <c r="O209" s="122" t="n"/>
      <c r="P209" s="122" t="n"/>
      <c r="Q209" s="122" t="n"/>
      <c r="R209" s="122" t="n"/>
      <c r="S209" s="122" t="n"/>
      <c r="T209" s="122" t="n"/>
      <c r="U209" s="122" t="n"/>
      <c r="V209" s="122" t="n"/>
      <c r="W209" s="122" t="n"/>
      <c r="X209" s="122" t="n"/>
    </row>
    <row r="210">
      <c r="A210" s="71" t="inlineStr">
        <is>
          <t>Receita bruta (R$)</t>
        </is>
      </c>
      <c r="B210" s="122" t="n"/>
      <c r="C210" s="76" t="n"/>
      <c r="D210" s="76">
        <f>D198*D209</f>
        <v/>
      </c>
      <c r="E210" s="76">
        <f>E198*E209</f>
        <v/>
      </c>
      <c r="F210" s="76">
        <f>F198*F209</f>
        <v/>
      </c>
      <c r="G210" s="76">
        <f>G198*G209</f>
        <v/>
      </c>
      <c r="H210" s="76">
        <f>H198*H209</f>
        <v/>
      </c>
      <c r="I210" s="76">
        <f>I198*I209</f>
        <v/>
      </c>
      <c r="J210" s="76">
        <f>J198*J209</f>
        <v/>
      </c>
      <c r="K210" s="76">
        <f>K198*K209</f>
        <v/>
      </c>
      <c r="L210" s="76">
        <f>L198*L209</f>
        <v/>
      </c>
      <c r="M210" s="76">
        <f>M198*M209</f>
        <v/>
      </c>
      <c r="N210" s="122" t="n"/>
      <c r="O210" s="122" t="n"/>
      <c r="P210" s="122" t="n"/>
      <c r="Q210" s="122" t="n"/>
      <c r="R210" s="122" t="n"/>
      <c r="S210" s="122" t="n"/>
      <c r="T210" s="122" t="n"/>
      <c r="U210" s="122" t="n"/>
      <c r="V210" s="122" t="n"/>
      <c r="W210" s="122" t="n"/>
      <c r="X210" s="122" t="n"/>
    </row>
    <row r="211">
      <c r="A211" s="71" t="inlineStr">
        <is>
          <t>Comissão (R$)</t>
        </is>
      </c>
      <c r="B211" s="122" t="n"/>
      <c r="C211" s="76" t="n"/>
      <c r="D211" s="76">
        <f>'2. Inputs'!D35*D210</f>
        <v/>
      </c>
      <c r="E211" s="76">
        <f>'2. Inputs'!E35*E210</f>
        <v/>
      </c>
      <c r="F211" s="76">
        <f>'2. Inputs'!F35*F210</f>
        <v/>
      </c>
      <c r="G211" s="76">
        <f>'2. Inputs'!G35*G210</f>
        <v/>
      </c>
      <c r="H211" s="76">
        <f>'2. Inputs'!H35*H210</f>
        <v/>
      </c>
      <c r="I211" s="76">
        <f>'2. Inputs'!I35*I210</f>
        <v/>
      </c>
      <c r="J211" s="76">
        <f>'2. Inputs'!J35*J210</f>
        <v/>
      </c>
      <c r="K211" s="76">
        <f>'2. Inputs'!K35*K210</f>
        <v/>
      </c>
      <c r="L211" s="76">
        <f>'2. Inputs'!L35*L210</f>
        <v/>
      </c>
      <c r="M211" s="76">
        <f>'2. Inputs'!M35*M210</f>
        <v/>
      </c>
      <c r="N211" s="122" t="n"/>
      <c r="O211" s="122" t="n"/>
      <c r="P211" s="122" t="n"/>
      <c r="Q211" s="122" t="n"/>
      <c r="R211" s="122" t="n"/>
      <c r="S211" s="122" t="n"/>
      <c r="T211" s="122" t="n"/>
      <c r="U211" s="122" t="n"/>
      <c r="V211" s="122" t="n"/>
      <c r="W211" s="122" t="n"/>
      <c r="X211" s="122" t="n"/>
    </row>
    <row r="212">
      <c r="A212" s="71" t="inlineStr">
        <is>
          <t>Receita líquida (R$)</t>
        </is>
      </c>
      <c r="B212" s="122" t="n"/>
      <c r="C212" s="76" t="n"/>
      <c r="D212" s="76">
        <f>D210*(1-'2. Inputs'!D32-'2. Inputs'!D33-'2. Inputs'!D34)</f>
        <v/>
      </c>
      <c r="E212" s="76">
        <f>E210*(1-'2. Inputs'!E32-'2. Inputs'!E33-'2. Inputs'!E34)</f>
        <v/>
      </c>
      <c r="F212" s="76">
        <f>F210*(1-'2. Inputs'!F32-'2. Inputs'!F33-'2. Inputs'!F34)</f>
        <v/>
      </c>
      <c r="G212" s="76">
        <f>G210*(1-'2. Inputs'!G32-'2. Inputs'!G33-'2. Inputs'!G34)</f>
        <v/>
      </c>
      <c r="H212" s="76">
        <f>H210*(1-'2. Inputs'!H32-'2. Inputs'!H33-'2. Inputs'!H34)</f>
        <v/>
      </c>
      <c r="I212" s="76">
        <f>I210*(1-'2. Inputs'!I32-'2. Inputs'!I33-'2. Inputs'!I34)</f>
        <v/>
      </c>
      <c r="J212" s="76">
        <f>J210*(1-'2. Inputs'!J32-'2. Inputs'!J33-'2. Inputs'!J34)</f>
        <v/>
      </c>
      <c r="K212" s="76">
        <f>K210*(1-'2. Inputs'!K32-'2. Inputs'!K33-'2. Inputs'!K34)</f>
        <v/>
      </c>
      <c r="L212" s="76">
        <f>L210*(1-'2. Inputs'!L32-'2. Inputs'!L33-'2. Inputs'!L34)</f>
        <v/>
      </c>
      <c r="M212" s="76">
        <f>M210*(1-'2. Inputs'!M32-'2. Inputs'!M33-'2. Inputs'!M34)</f>
        <v/>
      </c>
      <c r="N212" s="122" t="n"/>
      <c r="O212" s="122" t="n"/>
      <c r="P212" s="122" t="n"/>
      <c r="Q212" s="122" t="n"/>
      <c r="R212" s="122" t="n"/>
      <c r="S212" s="122" t="n"/>
      <c r="T212" s="122" t="n"/>
      <c r="U212" s="122" t="n"/>
      <c r="V212" s="122" t="n"/>
      <c r="W212" s="122" t="n"/>
      <c r="X212" s="122" t="n"/>
    </row>
    <row r="213">
      <c r="A213" s="71" t="inlineStr">
        <is>
          <t>EBITDA (R$)</t>
        </is>
      </c>
      <c r="B213" s="122" t="n"/>
      <c r="C213" s="76" t="n"/>
      <c r="D213" s="76">
        <f>D212-D202-D203-D211-D204-D205-D206</f>
        <v/>
      </c>
      <c r="E213" s="76">
        <f>E212-E202-E203-E211-E204-E205-E206</f>
        <v/>
      </c>
      <c r="F213" s="76">
        <f>F212-F202-F203-F211-F204-F205-F206</f>
        <v/>
      </c>
      <c r="G213" s="76">
        <f>G212-G202-G203-G211-G204-G205-G206</f>
        <v/>
      </c>
      <c r="H213" s="76">
        <f>H212-H202-H203-H211-H204-H205-H206</f>
        <v/>
      </c>
      <c r="I213" s="76">
        <f>I212-I202-I203-I211-I204-I205-I206</f>
        <v/>
      </c>
      <c r="J213" s="76">
        <f>J212-J202-J203-J211-J204-J205-J206</f>
        <v/>
      </c>
      <c r="K213" s="76">
        <f>K212-K202-K203-K211-K204-K205-K206</f>
        <v/>
      </c>
      <c r="L213" s="76">
        <f>L212-L202-L203-L211-L204-L205-L206</f>
        <v/>
      </c>
      <c r="M213" s="76">
        <f>M212-M202-M203-M211-M204-M205-M206</f>
        <v/>
      </c>
      <c r="N213" s="122" t="n"/>
      <c r="O213" s="122" t="n"/>
      <c r="P213" s="122" t="n"/>
      <c r="Q213" s="122" t="n"/>
      <c r="R213" s="122" t="n"/>
      <c r="S213" s="122" t="n"/>
      <c r="T213" s="122" t="n"/>
      <c r="U213" s="122" t="n"/>
      <c r="V213" s="122" t="n"/>
      <c r="W213" s="122" t="n"/>
      <c r="X213" s="122" t="n"/>
    </row>
    <row r="214">
      <c r="A214" s="71" t="inlineStr">
        <is>
          <t>EBIT (R$)</t>
        </is>
      </c>
      <c r="B214" s="122" t="n"/>
      <c r="C214" s="76" t="n"/>
      <c r="D214" s="76">
        <f>D213-D207</f>
        <v/>
      </c>
      <c r="E214" s="76">
        <f>E213-E207</f>
        <v/>
      </c>
      <c r="F214" s="76">
        <f>F213-F207</f>
        <v/>
      </c>
      <c r="G214" s="76">
        <f>G213-G207</f>
        <v/>
      </c>
      <c r="H214" s="76">
        <f>H213-H207</f>
        <v/>
      </c>
      <c r="I214" s="76">
        <f>I213-I207</f>
        <v/>
      </c>
      <c r="J214" s="76">
        <f>J213-J207</f>
        <v/>
      </c>
      <c r="K214" s="76">
        <f>K213-K207</f>
        <v/>
      </c>
      <c r="L214" s="76">
        <f>L213-L207</f>
        <v/>
      </c>
      <c r="M214" s="76">
        <f>M213-M207</f>
        <v/>
      </c>
      <c r="N214" s="122" t="n"/>
      <c r="O214" s="122" t="n"/>
      <c r="P214" s="122" t="n"/>
      <c r="Q214" s="122" t="n"/>
      <c r="R214" s="122" t="n"/>
      <c r="S214" s="122" t="n"/>
      <c r="T214" s="122" t="n"/>
      <c r="U214" s="122" t="n"/>
      <c r="V214" s="122" t="n"/>
      <c r="W214" s="122" t="n"/>
      <c r="X214" s="122" t="n"/>
    </row>
    <row r="215">
      <c r="A215" s="71" t="inlineStr">
        <is>
          <t>IRPJ + adicional + CSLL (R$)</t>
        </is>
      </c>
      <c r="B215" s="122" t="n"/>
      <c r="C215" s="76" t="n"/>
      <c r="D215" s="76">
        <f>IF(D214&gt;0,'2. Inputs'!D58*D214+'2. Inputs'!D59*MAX(0,D214-'2. Inputs'!D60)+'2. Inputs'!D61*D214,0)</f>
        <v/>
      </c>
      <c r="E215" s="76">
        <f>IF(E214&gt;0,'2. Inputs'!E58*E214+'2. Inputs'!E59*MAX(0,E214-'2. Inputs'!E60)+'2. Inputs'!E61*E214,0)</f>
        <v/>
      </c>
      <c r="F215" s="76">
        <f>IF(F214&gt;0,'2. Inputs'!F58*F214+'2. Inputs'!F59*MAX(0,F214-'2. Inputs'!F60)+'2. Inputs'!F61*F214,0)</f>
        <v/>
      </c>
      <c r="G215" s="76">
        <f>IF(G214&gt;0,'2. Inputs'!G58*G214+'2. Inputs'!G59*MAX(0,G214-'2. Inputs'!G60)+'2. Inputs'!G61*G214,0)</f>
        <v/>
      </c>
      <c r="H215" s="76">
        <f>IF(H214&gt;0,'2. Inputs'!H58*H214+'2. Inputs'!H59*MAX(0,H214-'2. Inputs'!H60)+'2. Inputs'!H61*H214,0)</f>
        <v/>
      </c>
      <c r="I215" s="76">
        <f>IF(I214&gt;0,'2. Inputs'!I58*I214+'2. Inputs'!I59*MAX(0,I214-'2. Inputs'!I60)+'2. Inputs'!I61*I214,0)</f>
        <v/>
      </c>
      <c r="J215" s="76">
        <f>IF(J214&gt;0,'2. Inputs'!J58*J214+'2. Inputs'!J59*MAX(0,J214-'2. Inputs'!J60)+'2. Inputs'!J61*J214,0)</f>
        <v/>
      </c>
      <c r="K215" s="76">
        <f>IF(K214&gt;0,'2. Inputs'!K58*K214+'2. Inputs'!K59*MAX(0,K214-'2. Inputs'!K60)+'2. Inputs'!K61*K214,0)</f>
        <v/>
      </c>
      <c r="L215" s="76">
        <f>IF(L214&gt;0,'2. Inputs'!L58*L214+'2. Inputs'!L59*MAX(0,L214-'2. Inputs'!L60)+'2. Inputs'!L61*L214,0)</f>
        <v/>
      </c>
      <c r="M215" s="76">
        <f>IF(M214&gt;0,'2. Inputs'!M58*M214+'2. Inputs'!M59*MAX(0,M214-'2. Inputs'!M60)+'2. Inputs'!M61*M214,0)</f>
        <v/>
      </c>
      <c r="N215" s="122" t="n"/>
      <c r="O215" s="122" t="n"/>
      <c r="P215" s="122" t="n"/>
      <c r="Q215" s="122" t="n"/>
      <c r="R215" s="122" t="n"/>
      <c r="S215" s="122" t="n"/>
      <c r="T215" s="122" t="n"/>
      <c r="U215" s="122" t="n"/>
      <c r="V215" s="122" t="n"/>
      <c r="W215" s="122" t="n"/>
      <c r="X215" s="122" t="n"/>
    </row>
    <row r="216">
      <c r="A216" s="71" t="inlineStr">
        <is>
          <t>NOPAT (R$)</t>
        </is>
      </c>
      <c r="B216" s="122" t="n"/>
      <c r="C216" s="76" t="n"/>
      <c r="D216" s="76">
        <f>D214-D215</f>
        <v/>
      </c>
      <c r="E216" s="76">
        <f>E214-E215</f>
        <v/>
      </c>
      <c r="F216" s="76">
        <f>F214-F215</f>
        <v/>
      </c>
      <c r="G216" s="76">
        <f>G214-G215</f>
        <v/>
      </c>
      <c r="H216" s="76">
        <f>H214-H215</f>
        <v/>
      </c>
      <c r="I216" s="76">
        <f>I214-I215</f>
        <v/>
      </c>
      <c r="J216" s="76">
        <f>J214-J215</f>
        <v/>
      </c>
      <c r="K216" s="76">
        <f>K214-K215</f>
        <v/>
      </c>
      <c r="L216" s="76">
        <f>L214-L215</f>
        <v/>
      </c>
      <c r="M216" s="76">
        <f>M214-M215</f>
        <v/>
      </c>
      <c r="N216" s="122" t="n"/>
      <c r="O216" s="122" t="n"/>
      <c r="P216" s="122" t="n"/>
      <c r="Q216" s="122" t="n"/>
      <c r="R216" s="122" t="n"/>
      <c r="S216" s="122" t="n"/>
      <c r="T216" s="122" t="n"/>
      <c r="U216" s="122" t="n"/>
      <c r="V216" s="122" t="n"/>
      <c r="W216" s="122" t="n"/>
      <c r="X216" s="122" t="n"/>
    </row>
    <row r="217">
      <c r="A217" s="71" t="inlineStr">
        <is>
          <t>Capital de giro (R$)</t>
        </is>
      </c>
      <c r="B217" s="122" t="n"/>
      <c r="C217" s="76">
        <f>D217</f>
        <v/>
      </c>
      <c r="D217" s="76">
        <f>'2. Inputs'!D64/'2. Inputs'!D68*D210+'2. Inputs'!D65/'2. Inputs'!D68*(D202+D203)+'2. Inputs'!D67/'2. Inputs'!D68*(D202+D203+D211+D204+D205+D206)-'2. Inputs'!D66/'2. Inputs'!D68*(D202+D203)</f>
        <v/>
      </c>
      <c r="E217" s="76">
        <f>'2. Inputs'!E64/'2. Inputs'!E68*E210+'2. Inputs'!E65/'2. Inputs'!E68*(E202+E203)+'2. Inputs'!E67/'2. Inputs'!E68*(E202+E203+E211+E204+E205+E206)-'2. Inputs'!E66/'2. Inputs'!E68*(E202+E203)</f>
        <v/>
      </c>
      <c r="F217" s="76">
        <f>'2. Inputs'!F64/'2. Inputs'!F68*F210+'2. Inputs'!F65/'2. Inputs'!F68*(F202+F203)+'2. Inputs'!F67/'2. Inputs'!F68*(F202+F203+F211+F204+F205+F206)-'2. Inputs'!F66/'2. Inputs'!F68*(F202+F203)</f>
        <v/>
      </c>
      <c r="G217" s="76">
        <f>'2. Inputs'!G64/'2. Inputs'!G68*G210+'2. Inputs'!G65/'2. Inputs'!G68*(G202+G203)+'2. Inputs'!G67/'2. Inputs'!G68*(G202+G203+G211+G204+G205+G206)-'2. Inputs'!G66/'2. Inputs'!G68*(G202+G203)</f>
        <v/>
      </c>
      <c r="H217" s="76">
        <f>'2. Inputs'!H64/'2. Inputs'!H68*H210+'2. Inputs'!H65/'2. Inputs'!H68*(H202+H203)+'2. Inputs'!H67/'2. Inputs'!H68*(H202+H203+H211+H204+H205+H206)-'2. Inputs'!H66/'2. Inputs'!H68*(H202+H203)</f>
        <v/>
      </c>
      <c r="I217" s="76">
        <f>'2. Inputs'!I64/'2. Inputs'!I68*I210+'2. Inputs'!I65/'2. Inputs'!I68*(I202+I203)+'2. Inputs'!I67/'2. Inputs'!I68*(I202+I203+I211+I204+I205+I206)-'2. Inputs'!I66/'2. Inputs'!I68*(I202+I203)</f>
        <v/>
      </c>
      <c r="J217" s="76">
        <f>'2. Inputs'!J64/'2. Inputs'!J68*J210+'2. Inputs'!J65/'2. Inputs'!J68*(J202+J203)+'2. Inputs'!J67/'2. Inputs'!J68*(J202+J203+J211+J204+J205+J206)-'2. Inputs'!J66/'2. Inputs'!J68*(J202+J203)</f>
        <v/>
      </c>
      <c r="K217" s="76">
        <f>'2. Inputs'!K64/'2. Inputs'!K68*K210+'2. Inputs'!K65/'2. Inputs'!K68*(K202+K203)+'2. Inputs'!K67/'2. Inputs'!K68*(K202+K203+K211+K204+K205+K206)-'2. Inputs'!K66/'2. Inputs'!K68*(K202+K203)</f>
        <v/>
      </c>
      <c r="L217" s="76">
        <f>'2. Inputs'!L64/'2. Inputs'!L68*L210+'2. Inputs'!L65/'2. Inputs'!L68*(L202+L203)+'2. Inputs'!L67/'2. Inputs'!L68*(L202+L203+L211+L204+L205+L206)-'2. Inputs'!L66/'2. Inputs'!L68*(L202+L203)</f>
        <v/>
      </c>
      <c r="M217" s="76">
        <f>'2. Inputs'!M64/'2. Inputs'!M68*M210+'2. Inputs'!M65/'2. Inputs'!M68*(M202+M203)+'2. Inputs'!M67/'2. Inputs'!M68*(M202+M203+M211+M204+M205+M206)-'2. Inputs'!M66/'2. Inputs'!M68*(M202+M203)</f>
        <v/>
      </c>
      <c r="N217" s="122" t="n"/>
      <c r="O217" s="122" t="n"/>
      <c r="P217" s="122" t="n"/>
      <c r="Q217" s="122" t="n"/>
      <c r="R217" s="122" t="n"/>
      <c r="S217" s="122" t="n"/>
      <c r="T217" s="122" t="n"/>
      <c r="U217" s="122" t="n"/>
      <c r="V217" s="122" t="n"/>
      <c r="W217" s="122" t="n"/>
      <c r="X217" s="122" t="n"/>
    </row>
    <row r="218">
      <c r="A218" s="71" t="inlineStr">
        <is>
          <t>Δ capital de giro (R$)</t>
        </is>
      </c>
      <c r="B218" s="122" t="n"/>
      <c r="C218" s="76">
        <f>C217</f>
        <v/>
      </c>
      <c r="D218" s="76">
        <f>D217-C217</f>
        <v/>
      </c>
      <c r="E218" s="76">
        <f>E217-D217</f>
        <v/>
      </c>
      <c r="F218" s="76">
        <f>F217-E217</f>
        <v/>
      </c>
      <c r="G218" s="76">
        <f>G217-F217</f>
        <v/>
      </c>
      <c r="H218" s="76">
        <f>H217-G217</f>
        <v/>
      </c>
      <c r="I218" s="76">
        <f>I217-H217</f>
        <v/>
      </c>
      <c r="J218" s="76">
        <f>J217-I217</f>
        <v/>
      </c>
      <c r="K218" s="76">
        <f>K217-J217</f>
        <v/>
      </c>
      <c r="L218" s="76">
        <f>L217-K217</f>
        <v/>
      </c>
      <c r="M218" s="76">
        <f>M217-L217</f>
        <v/>
      </c>
      <c r="N218" s="122" t="n"/>
      <c r="O218" s="122" t="n"/>
      <c r="P218" s="122" t="n"/>
      <c r="Q218" s="122" t="n"/>
      <c r="R218" s="122" t="n"/>
      <c r="S218" s="122" t="n"/>
      <c r="T218" s="122" t="n"/>
      <c r="U218" s="122" t="n"/>
      <c r="V218" s="122" t="n"/>
      <c r="W218" s="122" t="n"/>
      <c r="X218" s="122" t="n"/>
    </row>
    <row r="219">
      <c r="A219" s="71" t="inlineStr">
        <is>
          <t>Fluxo de caixa livre (R$)</t>
        </is>
      </c>
      <c r="B219" s="122" t="n"/>
      <c r="C219" s="83">
        <f>-C218-'2. Inputs'!C53</f>
        <v/>
      </c>
      <c r="D219" s="83">
        <f>D216+D207-D218-'2. Inputs'!D53+IF(D$197=10,D217,0)</f>
        <v/>
      </c>
      <c r="E219" s="83">
        <f>E216+E207-E218-'2. Inputs'!E53+IF(E$197=10,E217,0)</f>
        <v/>
      </c>
      <c r="F219" s="83">
        <f>F216+F207-F218-'2. Inputs'!F53+IF(F$197=10,F217,0)</f>
        <v/>
      </c>
      <c r="G219" s="83">
        <f>G216+G207-G218-'2. Inputs'!G53+IF(G$197=10,G217,0)</f>
        <v/>
      </c>
      <c r="H219" s="83">
        <f>H216+H207-H218-'2. Inputs'!H53+IF(H$197=10,H217,0)</f>
        <v/>
      </c>
      <c r="I219" s="83">
        <f>I216+I207-I218-'2. Inputs'!I53+IF(I$197=10,I217,0)</f>
        <v/>
      </c>
      <c r="J219" s="83">
        <f>J216+J207-J218-'2. Inputs'!J53+IF(J$197=10,J217,0)</f>
        <v/>
      </c>
      <c r="K219" s="83">
        <f>K216+K207-K218-'2. Inputs'!K53+IF(K$197=10,K217,0)</f>
        <v/>
      </c>
      <c r="L219" s="83">
        <f>L216+L207-L218-'2. Inputs'!L53+IF(L$197=10,L217,0)</f>
        <v/>
      </c>
      <c r="M219" s="83">
        <f>M216+M207-M218-'2. Inputs'!M53+IF(M$197=10,M217,0)</f>
        <v/>
      </c>
      <c r="N219" s="84">
        <f>C219/(1+'2. Inputs'!$C$81)^C197</f>
        <v/>
      </c>
      <c r="O219" s="84">
        <f>N219+D219/(1+'2. Inputs'!$C$81)^D197</f>
        <v/>
      </c>
      <c r="P219" s="84">
        <f>O219+E219/(1+'2. Inputs'!$C$81)^E197</f>
        <v/>
      </c>
      <c r="Q219" s="84">
        <f>P219+F219/(1+'2. Inputs'!$C$81)^F197</f>
        <v/>
      </c>
      <c r="R219" s="84">
        <f>Q219+G219/(1+'2. Inputs'!$C$81)^G197</f>
        <v/>
      </c>
      <c r="S219" s="84">
        <f>R219+H219/(1+'2. Inputs'!$C$81)^H197</f>
        <v/>
      </c>
      <c r="T219" s="84">
        <f>S219+I219/(1+'2. Inputs'!$C$81)^I197</f>
        <v/>
      </c>
      <c r="U219" s="84">
        <f>T219+J219/(1+'2. Inputs'!$C$81)^J197</f>
        <v/>
      </c>
      <c r="V219" s="84">
        <f>U219+K219/(1+'2. Inputs'!$C$81)^K197</f>
        <v/>
      </c>
      <c r="W219" s="84">
        <f>V219+L219/(1+'2. Inputs'!$C$81)^L197</f>
        <v/>
      </c>
      <c r="X219" s="84">
        <f>W219+M219/(1+'2. Inputs'!$C$81)^M197</f>
        <v/>
      </c>
    </row>
    <row r="220">
      <c r="A220" s="122" t="n"/>
      <c r="B220" s="122" t="n"/>
      <c r="C220" s="122" t="n"/>
      <c r="D220" s="122" t="n"/>
      <c r="E220" s="122" t="n"/>
      <c r="F220" s="122" t="n"/>
      <c r="G220" s="122" t="n"/>
      <c r="H220" s="122" t="n"/>
      <c r="I220" s="122" t="n"/>
      <c r="J220" s="122" t="n"/>
      <c r="K220" s="122" t="n"/>
      <c r="L220" s="122" t="n"/>
      <c r="M220" s="122" t="n"/>
      <c r="N220" s="122" t="n"/>
      <c r="O220" s="122" t="n"/>
      <c r="P220" s="122" t="n"/>
      <c r="Q220" s="122" t="n"/>
      <c r="R220" s="122" t="n"/>
      <c r="S220" s="122" t="n"/>
      <c r="T220" s="122" t="n"/>
      <c r="U220" s="122" t="n"/>
      <c r="V220" s="122" t="n"/>
      <c r="W220" s="122" t="n"/>
      <c r="X220" s="122" t="n"/>
    </row>
    <row r="221">
      <c r="A221" s="15" t="inlineStr">
        <is>
          <t>CORRIDA 9 — Custo variável −10%</t>
        </is>
      </c>
      <c r="B221" s="126" t="n"/>
      <c r="C221" s="126" t="n"/>
      <c r="D221" s="126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2" t="n"/>
      <c r="O221" s="122" t="n"/>
      <c r="P221" s="122" t="n"/>
      <c r="Q221" s="122" t="n"/>
      <c r="R221" s="122" t="n"/>
      <c r="S221" s="122" t="n"/>
      <c r="T221" s="122" t="n"/>
      <c r="U221" s="122" t="n"/>
      <c r="V221" s="122" t="n"/>
      <c r="W221" s="122" t="n"/>
      <c r="X221" s="122" t="n"/>
    </row>
    <row r="222">
      <c r="A222" s="78" t="inlineStr">
        <is>
          <t>Ano</t>
        </is>
      </c>
      <c r="B222" s="122" t="n"/>
      <c r="C222" s="79" t="n">
        <v>0</v>
      </c>
      <c r="D222" s="79" t="n">
        <v>1</v>
      </c>
      <c r="E222" s="79" t="n">
        <v>2</v>
      </c>
      <c r="F222" s="79" t="n">
        <v>3</v>
      </c>
      <c r="G222" s="79" t="n">
        <v>4</v>
      </c>
      <c r="H222" s="79" t="n">
        <v>5</v>
      </c>
      <c r="I222" s="79" t="n">
        <v>6</v>
      </c>
      <c r="J222" s="79" t="n">
        <v>7</v>
      </c>
      <c r="K222" s="79" t="n">
        <v>8</v>
      </c>
      <c r="L222" s="79" t="n">
        <v>9</v>
      </c>
      <c r="M222" s="79" t="n">
        <v>10</v>
      </c>
      <c r="N222" s="122" t="n"/>
      <c r="O222" s="122" t="n"/>
      <c r="P222" s="122" t="n"/>
      <c r="Q222" s="122" t="n"/>
      <c r="R222" s="122" t="n"/>
      <c r="S222" s="122" t="n"/>
      <c r="T222" s="122" t="n"/>
      <c r="U222" s="122" t="n"/>
      <c r="V222" s="122" t="n"/>
      <c r="W222" s="122" t="n"/>
      <c r="X222" s="122" t="n"/>
    </row>
    <row r="223">
      <c r="A223" s="71" t="inlineStr">
        <is>
          <t>Volume (un)</t>
        </is>
      </c>
      <c r="B223" s="122" t="n"/>
      <c r="C223" s="76" t="n"/>
      <c r="D223" s="76">
        <f>'2. Inputs'!D11*(1+$C$15)</f>
        <v/>
      </c>
      <c r="E223" s="76">
        <f>'2. Inputs'!E11*(1+$C$15)</f>
        <v/>
      </c>
      <c r="F223" s="76">
        <f>'2. Inputs'!F11*(1+$C$15)</f>
        <v/>
      </c>
      <c r="G223" s="76">
        <f>'2. Inputs'!G11*(1+$C$15)</f>
        <v/>
      </c>
      <c r="H223" s="76">
        <f>'2. Inputs'!H11*(1+$C$15)</f>
        <v/>
      </c>
      <c r="I223" s="76">
        <f>'2. Inputs'!I11*(1+$C$15)</f>
        <v/>
      </c>
      <c r="J223" s="76">
        <f>'2. Inputs'!J11*(1+$C$15)</f>
        <v/>
      </c>
      <c r="K223" s="76">
        <f>'2. Inputs'!K11*(1+$C$15)</f>
        <v/>
      </c>
      <c r="L223" s="76">
        <f>'2. Inputs'!L11*(1+$C$15)</f>
        <v/>
      </c>
      <c r="M223" s="76">
        <f>'2. Inputs'!M11*(1+$C$15)</f>
        <v/>
      </c>
      <c r="N223" s="122" t="n"/>
      <c r="O223" s="122" t="n"/>
      <c r="P223" s="122" t="n"/>
      <c r="Q223" s="122" t="n"/>
      <c r="R223" s="122" t="n"/>
      <c r="S223" s="122" t="n"/>
      <c r="T223" s="122" t="n"/>
      <c r="U223" s="122" t="n"/>
      <c r="V223" s="122" t="n"/>
      <c r="W223" s="122" t="n"/>
      <c r="X223" s="122" t="n"/>
    </row>
    <row r="224">
      <c r="A224" s="71" t="inlineStr">
        <is>
          <t>Frete unitário (R$/un)</t>
        </is>
      </c>
      <c r="B224" s="80">
        <f>('2. Inputs'!D25*'2. Inputs'!$C$96+'2. Inputs'!D26*'2. Inputs'!$C$97+'2. Inputs'!D27*'2. Inputs'!$C$98+'2. Inputs'!D28*'2. Inputs'!$C$99)/'2. Inputs'!$C$100</f>
        <v/>
      </c>
      <c r="C224" s="81" t="n"/>
      <c r="D224" s="81">
        <f>$G$15*'2. Inputs'!D24+(1-$G$15)*$B$224</f>
        <v/>
      </c>
      <c r="E224" s="81">
        <f>$G$15*'2. Inputs'!E24+(1-$G$15)*$B$224</f>
        <v/>
      </c>
      <c r="F224" s="81">
        <f>$G$15*'2. Inputs'!F24+(1-$G$15)*$B$224</f>
        <v/>
      </c>
      <c r="G224" s="81">
        <f>$G$15*'2. Inputs'!G24+(1-$G$15)*$B$224</f>
        <v/>
      </c>
      <c r="H224" s="81">
        <f>$G$15*'2. Inputs'!H24+(1-$G$15)*$B$224</f>
        <v/>
      </c>
      <c r="I224" s="81">
        <f>$G$15*'2. Inputs'!I24+(1-$G$15)*$B$224</f>
        <v/>
      </c>
      <c r="J224" s="81">
        <f>$G$15*'2. Inputs'!J24+(1-$G$15)*$B$224</f>
        <v/>
      </c>
      <c r="K224" s="81">
        <f>$G$15*'2. Inputs'!K24+(1-$G$15)*$B$224</f>
        <v/>
      </c>
      <c r="L224" s="81">
        <f>$G$15*'2. Inputs'!L24+(1-$G$15)*$B$224</f>
        <v/>
      </c>
      <c r="M224" s="81">
        <f>$G$15*'2. Inputs'!M24+(1-$G$15)*$B$224</f>
        <v/>
      </c>
      <c r="N224" s="122" t="n"/>
      <c r="O224" s="2" t="inlineStr">
        <is>
          <t>Coluna B: frete unitário médio fora do Sudeste, nas proporções da origem (Sul 5%, NE 3%, N 2%, CO 10%).</t>
        </is>
      </c>
      <c r="P224" s="122" t="n"/>
      <c r="Q224" s="122" t="n"/>
      <c r="R224" s="122" t="n"/>
      <c r="S224" s="122" t="n"/>
      <c r="T224" s="122" t="n"/>
      <c r="U224" s="122" t="n"/>
      <c r="V224" s="122" t="n"/>
      <c r="W224" s="122" t="n"/>
      <c r="X224" s="122" t="n"/>
    </row>
    <row r="225">
      <c r="A225" s="71" t="inlineStr">
        <is>
          <t>Custo variável unitário (R$/un)</t>
        </is>
      </c>
      <c r="B225" s="122" t="n"/>
      <c r="C225" s="82" t="n"/>
      <c r="D225" s="82">
        <f>'2. Inputs'!D43*(1+$E$15)</f>
        <v/>
      </c>
      <c r="E225" s="82">
        <f>'2. Inputs'!E43*(1+$E$15)</f>
        <v/>
      </c>
      <c r="F225" s="82">
        <f>'2. Inputs'!F43*(1+$E$15)</f>
        <v/>
      </c>
      <c r="G225" s="82">
        <f>'2. Inputs'!G43*(1+$E$15)</f>
        <v/>
      </c>
      <c r="H225" s="82">
        <f>'2. Inputs'!H43*(1+$E$15)</f>
        <v/>
      </c>
      <c r="I225" s="82">
        <f>'2. Inputs'!I43*(1+$E$15)</f>
        <v/>
      </c>
      <c r="J225" s="82">
        <f>'2. Inputs'!J43*(1+$E$15)</f>
        <v/>
      </c>
      <c r="K225" s="82">
        <f>'2. Inputs'!K43*(1+$E$15)</f>
        <v/>
      </c>
      <c r="L225" s="82">
        <f>'2. Inputs'!L43*(1+$E$15)</f>
        <v/>
      </c>
      <c r="M225" s="82">
        <f>'2. Inputs'!M43*(1+$E$15)</f>
        <v/>
      </c>
      <c r="N225" s="122" t="n"/>
      <c r="O225" s="122" t="n"/>
      <c r="P225" s="122" t="n"/>
      <c r="Q225" s="122" t="n"/>
      <c r="R225" s="122" t="n"/>
      <c r="S225" s="122" t="n"/>
      <c r="T225" s="122" t="n"/>
      <c r="U225" s="122" t="n"/>
      <c r="V225" s="122" t="n"/>
      <c r="W225" s="122" t="n"/>
      <c r="X225" s="122" t="n"/>
    </row>
    <row r="226">
      <c r="A226" s="71" t="inlineStr">
        <is>
          <t>Markup total (%)</t>
        </is>
      </c>
      <c r="B226" s="122" t="n"/>
      <c r="C226" s="72" t="n"/>
      <c r="D226" s="72">
        <f>'2. Inputs'!D32+'2. Inputs'!D33+'2. Inputs'!D34+'2. Inputs'!D35+'2. Inputs'!D36+$D$15</f>
        <v/>
      </c>
      <c r="E226" s="72">
        <f>'2. Inputs'!E32+'2. Inputs'!E33+'2. Inputs'!E34+'2. Inputs'!E35+'2. Inputs'!E36+$D$15</f>
        <v/>
      </c>
      <c r="F226" s="72">
        <f>'2. Inputs'!F32+'2. Inputs'!F33+'2. Inputs'!F34+'2. Inputs'!F35+'2. Inputs'!F36+$D$15</f>
        <v/>
      </c>
      <c r="G226" s="72">
        <f>'2. Inputs'!G32+'2. Inputs'!G33+'2. Inputs'!G34+'2. Inputs'!G35+'2. Inputs'!G36+$D$15</f>
        <v/>
      </c>
      <c r="H226" s="72">
        <f>'2. Inputs'!H32+'2. Inputs'!H33+'2. Inputs'!H34+'2. Inputs'!H35+'2. Inputs'!H36+$D$15</f>
        <v/>
      </c>
      <c r="I226" s="72">
        <f>'2. Inputs'!I32+'2. Inputs'!I33+'2. Inputs'!I34+'2. Inputs'!I35+'2. Inputs'!I36+$D$15</f>
        <v/>
      </c>
      <c r="J226" s="72">
        <f>'2. Inputs'!J32+'2. Inputs'!J33+'2. Inputs'!J34+'2. Inputs'!J35+'2. Inputs'!J36+$D$15</f>
        <v/>
      </c>
      <c r="K226" s="72">
        <f>'2. Inputs'!K32+'2. Inputs'!K33+'2. Inputs'!K34+'2. Inputs'!K35+'2. Inputs'!K36+$D$15</f>
        <v/>
      </c>
      <c r="L226" s="72">
        <f>'2. Inputs'!L32+'2. Inputs'!L33+'2. Inputs'!L34+'2. Inputs'!L35+'2. Inputs'!L36+$D$15</f>
        <v/>
      </c>
      <c r="M226" s="72">
        <f>'2. Inputs'!M32+'2. Inputs'!M33+'2. Inputs'!M34+'2. Inputs'!M35+'2. Inputs'!M36+$D$15</f>
        <v/>
      </c>
      <c r="N226" s="122" t="n"/>
      <c r="O226" s="122" t="n"/>
      <c r="P226" s="122" t="n"/>
      <c r="Q226" s="122" t="n"/>
      <c r="R226" s="122" t="n"/>
      <c r="S226" s="122" t="n"/>
      <c r="T226" s="122" t="n"/>
      <c r="U226" s="122" t="n"/>
      <c r="V226" s="122" t="n"/>
      <c r="W226" s="122" t="n"/>
      <c r="X226" s="122" t="n"/>
    </row>
    <row r="227">
      <c r="A227" s="71" t="inlineStr">
        <is>
          <t>Custo variável (R$)</t>
        </is>
      </c>
      <c r="B227" s="122" t="n"/>
      <c r="C227" s="76" t="n"/>
      <c r="D227" s="76">
        <f>D223*D225</f>
        <v/>
      </c>
      <c r="E227" s="76">
        <f>E223*E225</f>
        <v/>
      </c>
      <c r="F227" s="76">
        <f>F223*F225</f>
        <v/>
      </c>
      <c r="G227" s="76">
        <f>G223*G225</f>
        <v/>
      </c>
      <c r="H227" s="76">
        <f>H223*H225</f>
        <v/>
      </c>
      <c r="I227" s="76">
        <f>I223*I225</f>
        <v/>
      </c>
      <c r="J227" s="76">
        <f>J223*J225</f>
        <v/>
      </c>
      <c r="K227" s="76">
        <f>K223*K225</f>
        <v/>
      </c>
      <c r="L227" s="76">
        <f>L223*L225</f>
        <v/>
      </c>
      <c r="M227" s="76">
        <f>M223*M225</f>
        <v/>
      </c>
      <c r="N227" s="122" t="n"/>
      <c r="O227" s="122" t="n"/>
      <c r="P227" s="122" t="n"/>
      <c r="Q227" s="122" t="n"/>
      <c r="R227" s="122" t="n"/>
      <c r="S227" s="122" t="n"/>
      <c r="T227" s="122" t="n"/>
      <c r="U227" s="122" t="n"/>
      <c r="V227" s="122" t="n"/>
      <c r="W227" s="122" t="n"/>
      <c r="X227" s="122" t="n"/>
    </row>
    <row r="228">
      <c r="A228" s="71" t="inlineStr">
        <is>
          <t>Frete (R$)</t>
        </is>
      </c>
      <c r="B228" s="122" t="n"/>
      <c r="C228" s="76" t="n"/>
      <c r="D228" s="76">
        <f>D223*D224</f>
        <v/>
      </c>
      <c r="E228" s="76">
        <f>E223*E224</f>
        <v/>
      </c>
      <c r="F228" s="76">
        <f>F223*F224</f>
        <v/>
      </c>
      <c r="G228" s="76">
        <f>G223*G224</f>
        <v/>
      </c>
      <c r="H228" s="76">
        <f>H223*H224</f>
        <v/>
      </c>
      <c r="I228" s="76">
        <f>I223*I224</f>
        <v/>
      </c>
      <c r="J228" s="76">
        <f>J223*J224</f>
        <v/>
      </c>
      <c r="K228" s="76">
        <f>K223*K224</f>
        <v/>
      </c>
      <c r="L228" s="76">
        <f>L223*L224</f>
        <v/>
      </c>
      <c r="M228" s="76">
        <f>M223*M224</f>
        <v/>
      </c>
      <c r="N228" s="122" t="n"/>
      <c r="O228" s="122" t="n"/>
      <c r="P228" s="122" t="n"/>
      <c r="Q228" s="122" t="n"/>
      <c r="R228" s="122" t="n"/>
      <c r="S228" s="122" t="n"/>
      <c r="T228" s="122" t="n"/>
      <c r="U228" s="122" t="n"/>
      <c r="V228" s="122" t="n"/>
      <c r="W228" s="122" t="n"/>
      <c r="X228" s="122" t="n"/>
    </row>
    <row r="229">
      <c r="A229" s="71" t="inlineStr">
        <is>
          <t>Custo fixo de estrutura (R$)</t>
        </is>
      </c>
      <c r="B229" s="122" t="n"/>
      <c r="C229" s="76" t="n"/>
      <c r="D229" s="76">
        <f>'2. Inputs'!D46</f>
        <v/>
      </c>
      <c r="E229" s="76">
        <f>'2. Inputs'!E46</f>
        <v/>
      </c>
      <c r="F229" s="76">
        <f>'2. Inputs'!F46</f>
        <v/>
      </c>
      <c r="G229" s="76">
        <f>'2. Inputs'!G46</f>
        <v/>
      </c>
      <c r="H229" s="76">
        <f>'2. Inputs'!H46</f>
        <v/>
      </c>
      <c r="I229" s="76">
        <f>'2. Inputs'!I46</f>
        <v/>
      </c>
      <c r="J229" s="76">
        <f>'2. Inputs'!J46</f>
        <v/>
      </c>
      <c r="K229" s="76">
        <f>'2. Inputs'!K46</f>
        <v/>
      </c>
      <c r="L229" s="76">
        <f>'2. Inputs'!L46</f>
        <v/>
      </c>
      <c r="M229" s="76">
        <f>'2. Inputs'!M46</f>
        <v/>
      </c>
      <c r="N229" s="122" t="n"/>
      <c r="O229" s="122" t="n"/>
      <c r="P229" s="122" t="n"/>
      <c r="Q229" s="122" t="n"/>
      <c r="R229" s="122" t="n"/>
      <c r="S229" s="122" t="n"/>
      <c r="T229" s="122" t="n"/>
      <c r="U229" s="122" t="n"/>
      <c r="V229" s="122" t="n"/>
      <c r="W229" s="122" t="n"/>
      <c r="X229" s="122" t="n"/>
    </row>
    <row r="230">
      <c r="A230" s="71" t="inlineStr">
        <is>
          <t>Manutenção e seguro (R$)</t>
        </is>
      </c>
      <c r="B230" s="122" t="n"/>
      <c r="C230" s="76" t="n"/>
      <c r="D230" s="76">
        <f>('2. Inputs'!D47+'2. Inputs'!D48)*'2. Inputs'!D54</f>
        <v/>
      </c>
      <c r="E230" s="76">
        <f>('2. Inputs'!E47+'2. Inputs'!E48)*'2. Inputs'!E54</f>
        <v/>
      </c>
      <c r="F230" s="76">
        <f>('2. Inputs'!F47+'2. Inputs'!F48)*'2. Inputs'!F54</f>
        <v/>
      </c>
      <c r="G230" s="76">
        <f>('2. Inputs'!G47+'2. Inputs'!G48)*'2. Inputs'!G54</f>
        <v/>
      </c>
      <c r="H230" s="76">
        <f>('2. Inputs'!H47+'2. Inputs'!H48)*'2. Inputs'!H54</f>
        <v/>
      </c>
      <c r="I230" s="76">
        <f>('2. Inputs'!I47+'2. Inputs'!I48)*'2. Inputs'!I54</f>
        <v/>
      </c>
      <c r="J230" s="76">
        <f>('2. Inputs'!J47+'2. Inputs'!J48)*'2. Inputs'!J54</f>
        <v/>
      </c>
      <c r="K230" s="76">
        <f>('2. Inputs'!K47+'2. Inputs'!K48)*'2. Inputs'!K54</f>
        <v/>
      </c>
      <c r="L230" s="76">
        <f>('2. Inputs'!L47+'2. Inputs'!L48)*'2. Inputs'!L54</f>
        <v/>
      </c>
      <c r="M230" s="76">
        <f>('2. Inputs'!M47+'2. Inputs'!M48)*'2. Inputs'!M54</f>
        <v/>
      </c>
      <c r="N230" s="122" t="n"/>
      <c r="O230" s="122" t="n"/>
      <c r="P230" s="122" t="n"/>
      <c r="Q230" s="122" t="n"/>
      <c r="R230" s="122" t="n"/>
      <c r="S230" s="122" t="n"/>
      <c r="T230" s="122" t="n"/>
      <c r="U230" s="122" t="n"/>
      <c r="V230" s="122" t="n"/>
      <c r="W230" s="122" t="n"/>
      <c r="X230" s="122" t="n"/>
    </row>
    <row r="231">
      <c r="A231" s="71" t="inlineStr">
        <is>
          <t>Contingência (R$)</t>
        </is>
      </c>
      <c r="B231" s="122" t="n"/>
      <c r="C231" s="76" t="n"/>
      <c r="D231" s="76">
        <f>$F$15*'2. Inputs'!D54</f>
        <v/>
      </c>
      <c r="E231" s="76">
        <f>$F$15*'2. Inputs'!E54</f>
        <v/>
      </c>
      <c r="F231" s="76">
        <f>$F$15*'2. Inputs'!F54</f>
        <v/>
      </c>
      <c r="G231" s="76">
        <f>$F$15*'2. Inputs'!G54</f>
        <v/>
      </c>
      <c r="H231" s="76">
        <f>$F$15*'2. Inputs'!H54</f>
        <v/>
      </c>
      <c r="I231" s="76">
        <f>$F$15*'2. Inputs'!I54</f>
        <v/>
      </c>
      <c r="J231" s="76">
        <f>$F$15*'2. Inputs'!J54</f>
        <v/>
      </c>
      <c r="K231" s="76">
        <f>$F$15*'2. Inputs'!K54</f>
        <v/>
      </c>
      <c r="L231" s="76">
        <f>$F$15*'2. Inputs'!L54</f>
        <v/>
      </c>
      <c r="M231" s="76">
        <f>$F$15*'2. Inputs'!M54</f>
        <v/>
      </c>
      <c r="N231" s="122" t="n"/>
      <c r="O231" s="122" t="n"/>
      <c r="P231" s="122" t="n"/>
      <c r="Q231" s="122" t="n"/>
      <c r="R231" s="122" t="n"/>
      <c r="S231" s="122" t="n"/>
      <c r="T231" s="122" t="n"/>
      <c r="U231" s="122" t="n"/>
      <c r="V231" s="122" t="n"/>
      <c r="W231" s="122" t="n"/>
      <c r="X231" s="122" t="n"/>
    </row>
    <row r="232">
      <c r="A232" s="71" t="inlineStr">
        <is>
          <t>Depreciação (R$)</t>
        </is>
      </c>
      <c r="B232" s="122" t="n"/>
      <c r="C232" s="76" t="n"/>
      <c r="D232" s="76">
        <f>'3. Depreciacao'!D31</f>
        <v/>
      </c>
      <c r="E232" s="76">
        <f>'3. Depreciacao'!E31</f>
        <v/>
      </c>
      <c r="F232" s="76">
        <f>'3. Depreciacao'!F31</f>
        <v/>
      </c>
      <c r="G232" s="76">
        <f>'3. Depreciacao'!G31</f>
        <v/>
      </c>
      <c r="H232" s="76">
        <f>'3. Depreciacao'!H31</f>
        <v/>
      </c>
      <c r="I232" s="76">
        <f>'3. Depreciacao'!I31</f>
        <v/>
      </c>
      <c r="J232" s="76">
        <f>'3. Depreciacao'!J31</f>
        <v/>
      </c>
      <c r="K232" s="76">
        <f>'3. Depreciacao'!K31</f>
        <v/>
      </c>
      <c r="L232" s="76">
        <f>'3. Depreciacao'!L31</f>
        <v/>
      </c>
      <c r="M232" s="76">
        <f>'3. Depreciacao'!M31</f>
        <v/>
      </c>
      <c r="N232" s="122" t="n"/>
      <c r="O232" s="122" t="n"/>
      <c r="P232" s="122" t="n"/>
      <c r="Q232" s="122" t="n"/>
      <c r="R232" s="122" t="n"/>
      <c r="S232" s="122" t="n"/>
      <c r="T232" s="122" t="n"/>
      <c r="U232" s="122" t="n"/>
      <c r="V232" s="122" t="n"/>
      <c r="W232" s="122" t="n"/>
      <c r="X232" s="122" t="n"/>
    </row>
    <row r="233">
      <c r="A233" s="71" t="inlineStr">
        <is>
          <t>Custo total (R$)</t>
        </is>
      </c>
      <c r="B233" s="122" t="n"/>
      <c r="C233" s="76" t="n"/>
      <c r="D233" s="76">
        <f>SUM(D227:D232)</f>
        <v/>
      </c>
      <c r="E233" s="76">
        <f>SUM(E227:E232)</f>
        <v/>
      </c>
      <c r="F233" s="76">
        <f>SUM(F227:F232)</f>
        <v/>
      </c>
      <c r="G233" s="76">
        <f>SUM(G227:G232)</f>
        <v/>
      </c>
      <c r="H233" s="76">
        <f>SUM(H227:H232)</f>
        <v/>
      </c>
      <c r="I233" s="76">
        <f>SUM(I227:I232)</f>
        <v/>
      </c>
      <c r="J233" s="76">
        <f>SUM(J227:J232)</f>
        <v/>
      </c>
      <c r="K233" s="76">
        <f>SUM(K227:K232)</f>
        <v/>
      </c>
      <c r="L233" s="76">
        <f>SUM(L227:L232)</f>
        <v/>
      </c>
      <c r="M233" s="76">
        <f>SUM(M227:M232)</f>
        <v/>
      </c>
      <c r="N233" s="122" t="n"/>
      <c r="O233" s="122" t="n"/>
      <c r="P233" s="122" t="n"/>
      <c r="Q233" s="122" t="n"/>
      <c r="R233" s="122" t="n"/>
      <c r="S233" s="122" t="n"/>
      <c r="T233" s="122" t="n"/>
      <c r="U233" s="122" t="n"/>
      <c r="V233" s="122" t="n"/>
      <c r="W233" s="122" t="n"/>
      <c r="X233" s="122" t="n"/>
    </row>
    <row r="234">
      <c r="A234" s="71" t="inlineStr">
        <is>
          <t>Preço bruto unitário (R$/un)</t>
        </is>
      </c>
      <c r="B234" s="122" t="n"/>
      <c r="C234" s="82" t="n"/>
      <c r="D234" s="82">
        <f>IF('2. Inputs'!$C$38=1,D233/D223/(1-D226),'2. Inputs'!D39)</f>
        <v/>
      </c>
      <c r="E234" s="82">
        <f>IF('2. Inputs'!$C$38=1,E233/E223/(1-E226),'2. Inputs'!E39)</f>
        <v/>
      </c>
      <c r="F234" s="82">
        <f>IF('2. Inputs'!$C$38=1,F233/F223/(1-F226),'2. Inputs'!F39)</f>
        <v/>
      </c>
      <c r="G234" s="82">
        <f>IF('2. Inputs'!$C$38=1,G233/G223/(1-G226),'2. Inputs'!G39)</f>
        <v/>
      </c>
      <c r="H234" s="82">
        <f>IF('2. Inputs'!$C$38=1,H233/H223/(1-H226),'2. Inputs'!H39)</f>
        <v/>
      </c>
      <c r="I234" s="82">
        <f>IF('2. Inputs'!$C$38=1,I233/I223/(1-I226),'2. Inputs'!I39)</f>
        <v/>
      </c>
      <c r="J234" s="82">
        <f>IF('2. Inputs'!$C$38=1,J233/J223/(1-J226),'2. Inputs'!J39)</f>
        <v/>
      </c>
      <c r="K234" s="82">
        <f>IF('2. Inputs'!$C$38=1,K233/K223/(1-K226),'2. Inputs'!K39)</f>
        <v/>
      </c>
      <c r="L234" s="82">
        <f>IF('2. Inputs'!$C$38=1,L233/L223/(1-L226),'2. Inputs'!L39)</f>
        <v/>
      </c>
      <c r="M234" s="82">
        <f>IF('2. Inputs'!$C$38=1,M233/M223/(1-M226),'2. Inputs'!M39)</f>
        <v/>
      </c>
      <c r="N234" s="122" t="n"/>
      <c r="O234" s="122" t="n"/>
      <c r="P234" s="122" t="n"/>
      <c r="Q234" s="122" t="n"/>
      <c r="R234" s="122" t="n"/>
      <c r="S234" s="122" t="n"/>
      <c r="T234" s="122" t="n"/>
      <c r="U234" s="122" t="n"/>
      <c r="V234" s="122" t="n"/>
      <c r="W234" s="122" t="n"/>
      <c r="X234" s="122" t="n"/>
    </row>
    <row r="235">
      <c r="A235" s="71" t="inlineStr">
        <is>
          <t>Receita bruta (R$)</t>
        </is>
      </c>
      <c r="B235" s="122" t="n"/>
      <c r="C235" s="76" t="n"/>
      <c r="D235" s="76">
        <f>D223*D234</f>
        <v/>
      </c>
      <c r="E235" s="76">
        <f>E223*E234</f>
        <v/>
      </c>
      <c r="F235" s="76">
        <f>F223*F234</f>
        <v/>
      </c>
      <c r="G235" s="76">
        <f>G223*G234</f>
        <v/>
      </c>
      <c r="H235" s="76">
        <f>H223*H234</f>
        <v/>
      </c>
      <c r="I235" s="76">
        <f>I223*I234</f>
        <v/>
      </c>
      <c r="J235" s="76">
        <f>J223*J234</f>
        <v/>
      </c>
      <c r="K235" s="76">
        <f>K223*K234</f>
        <v/>
      </c>
      <c r="L235" s="76">
        <f>L223*L234</f>
        <v/>
      </c>
      <c r="M235" s="76">
        <f>M223*M234</f>
        <v/>
      </c>
      <c r="N235" s="122" t="n"/>
      <c r="O235" s="122" t="n"/>
      <c r="P235" s="122" t="n"/>
      <c r="Q235" s="122" t="n"/>
      <c r="R235" s="122" t="n"/>
      <c r="S235" s="122" t="n"/>
      <c r="T235" s="122" t="n"/>
      <c r="U235" s="122" t="n"/>
      <c r="V235" s="122" t="n"/>
      <c r="W235" s="122" t="n"/>
      <c r="X235" s="122" t="n"/>
    </row>
    <row r="236">
      <c r="A236" s="71" t="inlineStr">
        <is>
          <t>Comissão (R$)</t>
        </is>
      </c>
      <c r="B236" s="122" t="n"/>
      <c r="C236" s="76" t="n"/>
      <c r="D236" s="76">
        <f>'2. Inputs'!D35*D235</f>
        <v/>
      </c>
      <c r="E236" s="76">
        <f>'2. Inputs'!E35*E235</f>
        <v/>
      </c>
      <c r="F236" s="76">
        <f>'2. Inputs'!F35*F235</f>
        <v/>
      </c>
      <c r="G236" s="76">
        <f>'2. Inputs'!G35*G235</f>
        <v/>
      </c>
      <c r="H236" s="76">
        <f>'2. Inputs'!H35*H235</f>
        <v/>
      </c>
      <c r="I236" s="76">
        <f>'2. Inputs'!I35*I235</f>
        <v/>
      </c>
      <c r="J236" s="76">
        <f>'2. Inputs'!J35*J235</f>
        <v/>
      </c>
      <c r="K236" s="76">
        <f>'2. Inputs'!K35*K235</f>
        <v/>
      </c>
      <c r="L236" s="76">
        <f>'2. Inputs'!L35*L235</f>
        <v/>
      </c>
      <c r="M236" s="76">
        <f>'2. Inputs'!M35*M235</f>
        <v/>
      </c>
      <c r="N236" s="122" t="n"/>
      <c r="O236" s="122" t="n"/>
      <c r="P236" s="122" t="n"/>
      <c r="Q236" s="122" t="n"/>
      <c r="R236" s="122" t="n"/>
      <c r="S236" s="122" t="n"/>
      <c r="T236" s="122" t="n"/>
      <c r="U236" s="122" t="n"/>
      <c r="V236" s="122" t="n"/>
      <c r="W236" s="122" t="n"/>
      <c r="X236" s="122" t="n"/>
    </row>
    <row r="237">
      <c r="A237" s="71" t="inlineStr">
        <is>
          <t>Receita líquida (R$)</t>
        </is>
      </c>
      <c r="B237" s="122" t="n"/>
      <c r="C237" s="76" t="n"/>
      <c r="D237" s="76">
        <f>D235*(1-'2. Inputs'!D32-'2. Inputs'!D33-'2. Inputs'!D34)</f>
        <v/>
      </c>
      <c r="E237" s="76">
        <f>E235*(1-'2. Inputs'!E32-'2. Inputs'!E33-'2. Inputs'!E34)</f>
        <v/>
      </c>
      <c r="F237" s="76">
        <f>F235*(1-'2. Inputs'!F32-'2. Inputs'!F33-'2. Inputs'!F34)</f>
        <v/>
      </c>
      <c r="G237" s="76">
        <f>G235*(1-'2. Inputs'!G32-'2. Inputs'!G33-'2. Inputs'!G34)</f>
        <v/>
      </c>
      <c r="H237" s="76">
        <f>H235*(1-'2. Inputs'!H32-'2. Inputs'!H33-'2. Inputs'!H34)</f>
        <v/>
      </c>
      <c r="I237" s="76">
        <f>I235*(1-'2. Inputs'!I32-'2. Inputs'!I33-'2. Inputs'!I34)</f>
        <v/>
      </c>
      <c r="J237" s="76">
        <f>J235*(1-'2. Inputs'!J32-'2. Inputs'!J33-'2. Inputs'!J34)</f>
        <v/>
      </c>
      <c r="K237" s="76">
        <f>K235*(1-'2. Inputs'!K32-'2. Inputs'!K33-'2. Inputs'!K34)</f>
        <v/>
      </c>
      <c r="L237" s="76">
        <f>L235*(1-'2. Inputs'!L32-'2. Inputs'!L33-'2. Inputs'!L34)</f>
        <v/>
      </c>
      <c r="M237" s="76">
        <f>M235*(1-'2. Inputs'!M32-'2. Inputs'!M33-'2. Inputs'!M34)</f>
        <v/>
      </c>
      <c r="N237" s="122" t="n"/>
      <c r="O237" s="122" t="n"/>
      <c r="P237" s="122" t="n"/>
      <c r="Q237" s="122" t="n"/>
      <c r="R237" s="122" t="n"/>
      <c r="S237" s="122" t="n"/>
      <c r="T237" s="122" t="n"/>
      <c r="U237" s="122" t="n"/>
      <c r="V237" s="122" t="n"/>
      <c r="W237" s="122" t="n"/>
      <c r="X237" s="122" t="n"/>
    </row>
    <row r="238">
      <c r="A238" s="71" t="inlineStr">
        <is>
          <t>EBITDA (R$)</t>
        </is>
      </c>
      <c r="B238" s="122" t="n"/>
      <c r="C238" s="76" t="n"/>
      <c r="D238" s="76">
        <f>D237-D227-D228-D236-D229-D230-D231</f>
        <v/>
      </c>
      <c r="E238" s="76">
        <f>E237-E227-E228-E236-E229-E230-E231</f>
        <v/>
      </c>
      <c r="F238" s="76">
        <f>F237-F227-F228-F236-F229-F230-F231</f>
        <v/>
      </c>
      <c r="G238" s="76">
        <f>G237-G227-G228-G236-G229-G230-G231</f>
        <v/>
      </c>
      <c r="H238" s="76">
        <f>H237-H227-H228-H236-H229-H230-H231</f>
        <v/>
      </c>
      <c r="I238" s="76">
        <f>I237-I227-I228-I236-I229-I230-I231</f>
        <v/>
      </c>
      <c r="J238" s="76">
        <f>J237-J227-J228-J236-J229-J230-J231</f>
        <v/>
      </c>
      <c r="K238" s="76">
        <f>K237-K227-K228-K236-K229-K230-K231</f>
        <v/>
      </c>
      <c r="L238" s="76">
        <f>L237-L227-L228-L236-L229-L230-L231</f>
        <v/>
      </c>
      <c r="M238" s="76">
        <f>M237-M227-M228-M236-M229-M230-M231</f>
        <v/>
      </c>
      <c r="N238" s="122" t="n"/>
      <c r="O238" s="122" t="n"/>
      <c r="P238" s="122" t="n"/>
      <c r="Q238" s="122" t="n"/>
      <c r="R238" s="122" t="n"/>
      <c r="S238" s="122" t="n"/>
      <c r="T238" s="122" t="n"/>
      <c r="U238" s="122" t="n"/>
      <c r="V238" s="122" t="n"/>
      <c r="W238" s="122" t="n"/>
      <c r="X238" s="122" t="n"/>
    </row>
    <row r="239">
      <c r="A239" s="71" t="inlineStr">
        <is>
          <t>EBIT (R$)</t>
        </is>
      </c>
      <c r="B239" s="122" t="n"/>
      <c r="C239" s="76" t="n"/>
      <c r="D239" s="76">
        <f>D238-D232</f>
        <v/>
      </c>
      <c r="E239" s="76">
        <f>E238-E232</f>
        <v/>
      </c>
      <c r="F239" s="76">
        <f>F238-F232</f>
        <v/>
      </c>
      <c r="G239" s="76">
        <f>G238-G232</f>
        <v/>
      </c>
      <c r="H239" s="76">
        <f>H238-H232</f>
        <v/>
      </c>
      <c r="I239" s="76">
        <f>I238-I232</f>
        <v/>
      </c>
      <c r="J239" s="76">
        <f>J238-J232</f>
        <v/>
      </c>
      <c r="K239" s="76">
        <f>K238-K232</f>
        <v/>
      </c>
      <c r="L239" s="76">
        <f>L238-L232</f>
        <v/>
      </c>
      <c r="M239" s="76">
        <f>M238-M232</f>
        <v/>
      </c>
      <c r="N239" s="122" t="n"/>
      <c r="O239" s="122" t="n"/>
      <c r="P239" s="122" t="n"/>
      <c r="Q239" s="122" t="n"/>
      <c r="R239" s="122" t="n"/>
      <c r="S239" s="122" t="n"/>
      <c r="T239" s="122" t="n"/>
      <c r="U239" s="122" t="n"/>
      <c r="V239" s="122" t="n"/>
      <c r="W239" s="122" t="n"/>
      <c r="X239" s="122" t="n"/>
    </row>
    <row r="240">
      <c r="A240" s="71" t="inlineStr">
        <is>
          <t>IRPJ + adicional + CSLL (R$)</t>
        </is>
      </c>
      <c r="B240" s="122" t="n"/>
      <c r="C240" s="76" t="n"/>
      <c r="D240" s="76">
        <f>IF(D239&gt;0,'2. Inputs'!D58*D239+'2. Inputs'!D59*MAX(0,D239-'2. Inputs'!D60)+'2. Inputs'!D61*D239,0)</f>
        <v/>
      </c>
      <c r="E240" s="76">
        <f>IF(E239&gt;0,'2. Inputs'!E58*E239+'2. Inputs'!E59*MAX(0,E239-'2. Inputs'!E60)+'2. Inputs'!E61*E239,0)</f>
        <v/>
      </c>
      <c r="F240" s="76">
        <f>IF(F239&gt;0,'2. Inputs'!F58*F239+'2. Inputs'!F59*MAX(0,F239-'2. Inputs'!F60)+'2. Inputs'!F61*F239,0)</f>
        <v/>
      </c>
      <c r="G240" s="76">
        <f>IF(G239&gt;0,'2. Inputs'!G58*G239+'2. Inputs'!G59*MAX(0,G239-'2. Inputs'!G60)+'2. Inputs'!G61*G239,0)</f>
        <v/>
      </c>
      <c r="H240" s="76">
        <f>IF(H239&gt;0,'2. Inputs'!H58*H239+'2. Inputs'!H59*MAX(0,H239-'2. Inputs'!H60)+'2. Inputs'!H61*H239,0)</f>
        <v/>
      </c>
      <c r="I240" s="76">
        <f>IF(I239&gt;0,'2. Inputs'!I58*I239+'2. Inputs'!I59*MAX(0,I239-'2. Inputs'!I60)+'2. Inputs'!I61*I239,0)</f>
        <v/>
      </c>
      <c r="J240" s="76">
        <f>IF(J239&gt;0,'2. Inputs'!J58*J239+'2. Inputs'!J59*MAX(0,J239-'2. Inputs'!J60)+'2. Inputs'!J61*J239,0)</f>
        <v/>
      </c>
      <c r="K240" s="76">
        <f>IF(K239&gt;0,'2. Inputs'!K58*K239+'2. Inputs'!K59*MAX(0,K239-'2. Inputs'!K60)+'2. Inputs'!K61*K239,0)</f>
        <v/>
      </c>
      <c r="L240" s="76">
        <f>IF(L239&gt;0,'2. Inputs'!L58*L239+'2. Inputs'!L59*MAX(0,L239-'2. Inputs'!L60)+'2. Inputs'!L61*L239,0)</f>
        <v/>
      </c>
      <c r="M240" s="76">
        <f>IF(M239&gt;0,'2. Inputs'!M58*M239+'2. Inputs'!M59*MAX(0,M239-'2. Inputs'!M60)+'2. Inputs'!M61*M239,0)</f>
        <v/>
      </c>
      <c r="N240" s="122" t="n"/>
      <c r="O240" s="122" t="n"/>
      <c r="P240" s="122" t="n"/>
      <c r="Q240" s="122" t="n"/>
      <c r="R240" s="122" t="n"/>
      <c r="S240" s="122" t="n"/>
      <c r="T240" s="122" t="n"/>
      <c r="U240" s="122" t="n"/>
      <c r="V240" s="122" t="n"/>
      <c r="W240" s="122" t="n"/>
      <c r="X240" s="122" t="n"/>
    </row>
    <row r="241">
      <c r="A241" s="71" t="inlineStr">
        <is>
          <t>NOPAT (R$)</t>
        </is>
      </c>
      <c r="B241" s="122" t="n"/>
      <c r="C241" s="76" t="n"/>
      <c r="D241" s="76">
        <f>D239-D240</f>
        <v/>
      </c>
      <c r="E241" s="76">
        <f>E239-E240</f>
        <v/>
      </c>
      <c r="F241" s="76">
        <f>F239-F240</f>
        <v/>
      </c>
      <c r="G241" s="76">
        <f>G239-G240</f>
        <v/>
      </c>
      <c r="H241" s="76">
        <f>H239-H240</f>
        <v/>
      </c>
      <c r="I241" s="76">
        <f>I239-I240</f>
        <v/>
      </c>
      <c r="J241" s="76">
        <f>J239-J240</f>
        <v/>
      </c>
      <c r="K241" s="76">
        <f>K239-K240</f>
        <v/>
      </c>
      <c r="L241" s="76">
        <f>L239-L240</f>
        <v/>
      </c>
      <c r="M241" s="76">
        <f>M239-M240</f>
        <v/>
      </c>
      <c r="N241" s="122" t="n"/>
      <c r="O241" s="122" t="n"/>
      <c r="P241" s="122" t="n"/>
      <c r="Q241" s="122" t="n"/>
      <c r="R241" s="122" t="n"/>
      <c r="S241" s="122" t="n"/>
      <c r="T241" s="122" t="n"/>
      <c r="U241" s="122" t="n"/>
      <c r="V241" s="122" t="n"/>
      <c r="W241" s="122" t="n"/>
      <c r="X241" s="122" t="n"/>
    </row>
    <row r="242">
      <c r="A242" s="71" t="inlineStr">
        <is>
          <t>Capital de giro (R$)</t>
        </is>
      </c>
      <c r="B242" s="122" t="n"/>
      <c r="C242" s="76">
        <f>D242</f>
        <v/>
      </c>
      <c r="D242" s="76">
        <f>'2. Inputs'!D64/'2. Inputs'!D68*D235+'2. Inputs'!D65/'2. Inputs'!D68*(D227+D228)+'2. Inputs'!D67/'2. Inputs'!D68*(D227+D228+D236+D229+D230+D231)-'2. Inputs'!D66/'2. Inputs'!D68*(D227+D228)</f>
        <v/>
      </c>
      <c r="E242" s="76">
        <f>'2. Inputs'!E64/'2. Inputs'!E68*E235+'2. Inputs'!E65/'2. Inputs'!E68*(E227+E228)+'2. Inputs'!E67/'2. Inputs'!E68*(E227+E228+E236+E229+E230+E231)-'2. Inputs'!E66/'2. Inputs'!E68*(E227+E228)</f>
        <v/>
      </c>
      <c r="F242" s="76">
        <f>'2. Inputs'!F64/'2. Inputs'!F68*F235+'2. Inputs'!F65/'2. Inputs'!F68*(F227+F228)+'2. Inputs'!F67/'2. Inputs'!F68*(F227+F228+F236+F229+F230+F231)-'2. Inputs'!F66/'2. Inputs'!F68*(F227+F228)</f>
        <v/>
      </c>
      <c r="G242" s="76">
        <f>'2. Inputs'!G64/'2. Inputs'!G68*G235+'2. Inputs'!G65/'2. Inputs'!G68*(G227+G228)+'2. Inputs'!G67/'2. Inputs'!G68*(G227+G228+G236+G229+G230+G231)-'2. Inputs'!G66/'2. Inputs'!G68*(G227+G228)</f>
        <v/>
      </c>
      <c r="H242" s="76">
        <f>'2. Inputs'!H64/'2. Inputs'!H68*H235+'2. Inputs'!H65/'2. Inputs'!H68*(H227+H228)+'2. Inputs'!H67/'2. Inputs'!H68*(H227+H228+H236+H229+H230+H231)-'2. Inputs'!H66/'2. Inputs'!H68*(H227+H228)</f>
        <v/>
      </c>
      <c r="I242" s="76">
        <f>'2. Inputs'!I64/'2. Inputs'!I68*I235+'2. Inputs'!I65/'2. Inputs'!I68*(I227+I228)+'2. Inputs'!I67/'2. Inputs'!I68*(I227+I228+I236+I229+I230+I231)-'2. Inputs'!I66/'2. Inputs'!I68*(I227+I228)</f>
        <v/>
      </c>
      <c r="J242" s="76">
        <f>'2. Inputs'!J64/'2. Inputs'!J68*J235+'2. Inputs'!J65/'2. Inputs'!J68*(J227+J228)+'2. Inputs'!J67/'2. Inputs'!J68*(J227+J228+J236+J229+J230+J231)-'2. Inputs'!J66/'2. Inputs'!J68*(J227+J228)</f>
        <v/>
      </c>
      <c r="K242" s="76">
        <f>'2. Inputs'!K64/'2. Inputs'!K68*K235+'2. Inputs'!K65/'2. Inputs'!K68*(K227+K228)+'2. Inputs'!K67/'2. Inputs'!K68*(K227+K228+K236+K229+K230+K231)-'2. Inputs'!K66/'2. Inputs'!K68*(K227+K228)</f>
        <v/>
      </c>
      <c r="L242" s="76">
        <f>'2. Inputs'!L64/'2. Inputs'!L68*L235+'2. Inputs'!L65/'2. Inputs'!L68*(L227+L228)+'2. Inputs'!L67/'2. Inputs'!L68*(L227+L228+L236+L229+L230+L231)-'2. Inputs'!L66/'2. Inputs'!L68*(L227+L228)</f>
        <v/>
      </c>
      <c r="M242" s="76">
        <f>'2. Inputs'!M64/'2. Inputs'!M68*M235+'2. Inputs'!M65/'2. Inputs'!M68*(M227+M228)+'2. Inputs'!M67/'2. Inputs'!M68*(M227+M228+M236+M229+M230+M231)-'2. Inputs'!M66/'2. Inputs'!M68*(M227+M228)</f>
        <v/>
      </c>
      <c r="N242" s="122" t="n"/>
      <c r="O242" s="122" t="n"/>
      <c r="P242" s="122" t="n"/>
      <c r="Q242" s="122" t="n"/>
      <c r="R242" s="122" t="n"/>
      <c r="S242" s="122" t="n"/>
      <c r="T242" s="122" t="n"/>
      <c r="U242" s="122" t="n"/>
      <c r="V242" s="122" t="n"/>
      <c r="W242" s="122" t="n"/>
      <c r="X242" s="122" t="n"/>
    </row>
    <row r="243">
      <c r="A243" s="71" t="inlineStr">
        <is>
          <t>Δ capital de giro (R$)</t>
        </is>
      </c>
      <c r="B243" s="122" t="n"/>
      <c r="C243" s="76">
        <f>C242</f>
        <v/>
      </c>
      <c r="D243" s="76">
        <f>D242-C242</f>
        <v/>
      </c>
      <c r="E243" s="76">
        <f>E242-D242</f>
        <v/>
      </c>
      <c r="F243" s="76">
        <f>F242-E242</f>
        <v/>
      </c>
      <c r="G243" s="76">
        <f>G242-F242</f>
        <v/>
      </c>
      <c r="H243" s="76">
        <f>H242-G242</f>
        <v/>
      </c>
      <c r="I243" s="76">
        <f>I242-H242</f>
        <v/>
      </c>
      <c r="J243" s="76">
        <f>J242-I242</f>
        <v/>
      </c>
      <c r="K243" s="76">
        <f>K242-J242</f>
        <v/>
      </c>
      <c r="L243" s="76">
        <f>L242-K242</f>
        <v/>
      </c>
      <c r="M243" s="76">
        <f>M242-L242</f>
        <v/>
      </c>
      <c r="N243" s="122" t="n"/>
      <c r="O243" s="122" t="n"/>
      <c r="P243" s="122" t="n"/>
      <c r="Q243" s="122" t="n"/>
      <c r="R243" s="122" t="n"/>
      <c r="S243" s="122" t="n"/>
      <c r="T243" s="122" t="n"/>
      <c r="U243" s="122" t="n"/>
      <c r="V243" s="122" t="n"/>
      <c r="W243" s="122" t="n"/>
      <c r="X243" s="122" t="n"/>
    </row>
    <row r="244">
      <c r="A244" s="71" t="inlineStr">
        <is>
          <t>Fluxo de caixa livre (R$)</t>
        </is>
      </c>
      <c r="B244" s="122" t="n"/>
      <c r="C244" s="83">
        <f>-C243-'2. Inputs'!C53</f>
        <v/>
      </c>
      <c r="D244" s="83">
        <f>D241+D232-D243-'2. Inputs'!D53+IF(D$222=10,D242,0)</f>
        <v/>
      </c>
      <c r="E244" s="83">
        <f>E241+E232-E243-'2. Inputs'!E53+IF(E$222=10,E242,0)</f>
        <v/>
      </c>
      <c r="F244" s="83">
        <f>F241+F232-F243-'2. Inputs'!F53+IF(F$222=10,F242,0)</f>
        <v/>
      </c>
      <c r="G244" s="83">
        <f>G241+G232-G243-'2. Inputs'!G53+IF(G$222=10,G242,0)</f>
        <v/>
      </c>
      <c r="H244" s="83">
        <f>H241+H232-H243-'2. Inputs'!H53+IF(H$222=10,H242,0)</f>
        <v/>
      </c>
      <c r="I244" s="83">
        <f>I241+I232-I243-'2. Inputs'!I53+IF(I$222=10,I242,0)</f>
        <v/>
      </c>
      <c r="J244" s="83">
        <f>J241+J232-J243-'2. Inputs'!J53+IF(J$222=10,J242,0)</f>
        <v/>
      </c>
      <c r="K244" s="83">
        <f>K241+K232-K243-'2. Inputs'!K53+IF(K$222=10,K242,0)</f>
        <v/>
      </c>
      <c r="L244" s="83">
        <f>L241+L232-L243-'2. Inputs'!L53+IF(L$222=10,L242,0)</f>
        <v/>
      </c>
      <c r="M244" s="83">
        <f>M241+M232-M243-'2. Inputs'!M53+IF(M$222=10,M242,0)</f>
        <v/>
      </c>
      <c r="N244" s="84">
        <f>C244/(1+'2. Inputs'!$C$81)^C222</f>
        <v/>
      </c>
      <c r="O244" s="84">
        <f>N244+D244/(1+'2. Inputs'!$C$81)^D222</f>
        <v/>
      </c>
      <c r="P244" s="84">
        <f>O244+E244/(1+'2. Inputs'!$C$81)^E222</f>
        <v/>
      </c>
      <c r="Q244" s="84">
        <f>P244+F244/(1+'2. Inputs'!$C$81)^F222</f>
        <v/>
      </c>
      <c r="R244" s="84">
        <f>Q244+G244/(1+'2. Inputs'!$C$81)^G222</f>
        <v/>
      </c>
      <c r="S244" s="84">
        <f>R244+H244/(1+'2. Inputs'!$C$81)^H222</f>
        <v/>
      </c>
      <c r="T244" s="84">
        <f>S244+I244/(1+'2. Inputs'!$C$81)^I222</f>
        <v/>
      </c>
      <c r="U244" s="84">
        <f>T244+J244/(1+'2. Inputs'!$C$81)^J222</f>
        <v/>
      </c>
      <c r="V244" s="84">
        <f>U244+K244/(1+'2. Inputs'!$C$81)^K222</f>
        <v/>
      </c>
      <c r="W244" s="84">
        <f>V244+L244/(1+'2. Inputs'!$C$81)^L222</f>
        <v/>
      </c>
      <c r="X244" s="84">
        <f>W244+M244/(1+'2. Inputs'!$C$81)^M222</f>
        <v/>
      </c>
    </row>
    <row r="245">
      <c r="A245" s="122" t="n"/>
      <c r="B245" s="122" t="n"/>
      <c r="C245" s="122" t="n"/>
      <c r="D245" s="122" t="n"/>
      <c r="E245" s="122" t="n"/>
      <c r="F245" s="122" t="n"/>
      <c r="G245" s="122" t="n"/>
      <c r="H245" s="122" t="n"/>
      <c r="I245" s="122" t="n"/>
      <c r="J245" s="122" t="n"/>
      <c r="K245" s="122" t="n"/>
      <c r="L245" s="122" t="n"/>
      <c r="M245" s="122" t="n"/>
      <c r="N245" s="122" t="n"/>
      <c r="O245" s="122" t="n"/>
      <c r="P245" s="122" t="n"/>
      <c r="Q245" s="122" t="n"/>
      <c r="R245" s="122" t="n"/>
      <c r="S245" s="122" t="n"/>
      <c r="T245" s="122" t="n"/>
      <c r="U245" s="122" t="n"/>
      <c r="V245" s="122" t="n"/>
      <c r="W245" s="122" t="n"/>
      <c r="X245" s="122" t="n"/>
    </row>
    <row r="246">
      <c r="A246" s="15" t="inlineStr">
        <is>
          <t>CORRIDA 10 — Contingência 15%</t>
        </is>
      </c>
      <c r="B246" s="126" t="n"/>
      <c r="C246" s="126" t="n"/>
      <c r="D246" s="126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2" t="n"/>
      <c r="O246" s="122" t="n"/>
      <c r="P246" s="122" t="n"/>
      <c r="Q246" s="122" t="n"/>
      <c r="R246" s="122" t="n"/>
      <c r="S246" s="122" t="n"/>
      <c r="T246" s="122" t="n"/>
      <c r="U246" s="122" t="n"/>
      <c r="V246" s="122" t="n"/>
      <c r="W246" s="122" t="n"/>
      <c r="X246" s="122" t="n"/>
    </row>
    <row r="247">
      <c r="A247" s="78" t="inlineStr">
        <is>
          <t>Ano</t>
        </is>
      </c>
      <c r="B247" s="122" t="n"/>
      <c r="C247" s="79" t="n">
        <v>0</v>
      </c>
      <c r="D247" s="79" t="n">
        <v>1</v>
      </c>
      <c r="E247" s="79" t="n">
        <v>2</v>
      </c>
      <c r="F247" s="79" t="n">
        <v>3</v>
      </c>
      <c r="G247" s="79" t="n">
        <v>4</v>
      </c>
      <c r="H247" s="79" t="n">
        <v>5</v>
      </c>
      <c r="I247" s="79" t="n">
        <v>6</v>
      </c>
      <c r="J247" s="79" t="n">
        <v>7</v>
      </c>
      <c r="K247" s="79" t="n">
        <v>8</v>
      </c>
      <c r="L247" s="79" t="n">
        <v>9</v>
      </c>
      <c r="M247" s="79" t="n">
        <v>10</v>
      </c>
      <c r="N247" s="122" t="n"/>
      <c r="O247" s="122" t="n"/>
      <c r="P247" s="122" t="n"/>
      <c r="Q247" s="122" t="n"/>
      <c r="R247" s="122" t="n"/>
      <c r="S247" s="122" t="n"/>
      <c r="T247" s="122" t="n"/>
      <c r="U247" s="122" t="n"/>
      <c r="V247" s="122" t="n"/>
      <c r="W247" s="122" t="n"/>
      <c r="X247" s="122" t="n"/>
    </row>
    <row r="248">
      <c r="A248" s="71" t="inlineStr">
        <is>
          <t>Volume (un)</t>
        </is>
      </c>
      <c r="B248" s="122" t="n"/>
      <c r="C248" s="76" t="n"/>
      <c r="D248" s="76">
        <f>'2. Inputs'!D11*(1+$C$16)</f>
        <v/>
      </c>
      <c r="E248" s="76">
        <f>'2. Inputs'!E11*(1+$C$16)</f>
        <v/>
      </c>
      <c r="F248" s="76">
        <f>'2. Inputs'!F11*(1+$C$16)</f>
        <v/>
      </c>
      <c r="G248" s="76">
        <f>'2. Inputs'!G11*(1+$C$16)</f>
        <v/>
      </c>
      <c r="H248" s="76">
        <f>'2. Inputs'!H11*(1+$C$16)</f>
        <v/>
      </c>
      <c r="I248" s="76">
        <f>'2. Inputs'!I11*(1+$C$16)</f>
        <v/>
      </c>
      <c r="J248" s="76">
        <f>'2. Inputs'!J11*(1+$C$16)</f>
        <v/>
      </c>
      <c r="K248" s="76">
        <f>'2. Inputs'!K11*(1+$C$16)</f>
        <v/>
      </c>
      <c r="L248" s="76">
        <f>'2. Inputs'!L11*(1+$C$16)</f>
        <v/>
      </c>
      <c r="M248" s="76">
        <f>'2. Inputs'!M11*(1+$C$16)</f>
        <v/>
      </c>
      <c r="N248" s="122" t="n"/>
      <c r="O248" s="122" t="n"/>
      <c r="P248" s="122" t="n"/>
      <c r="Q248" s="122" t="n"/>
      <c r="R248" s="122" t="n"/>
      <c r="S248" s="122" t="n"/>
      <c r="T248" s="122" t="n"/>
      <c r="U248" s="122" t="n"/>
      <c r="V248" s="122" t="n"/>
      <c r="W248" s="122" t="n"/>
      <c r="X248" s="122" t="n"/>
    </row>
    <row r="249">
      <c r="A249" s="71" t="inlineStr">
        <is>
          <t>Frete unitário (R$/un)</t>
        </is>
      </c>
      <c r="B249" s="80">
        <f>('2. Inputs'!D25*'2. Inputs'!$C$96+'2. Inputs'!D26*'2. Inputs'!$C$97+'2. Inputs'!D27*'2. Inputs'!$C$98+'2. Inputs'!D28*'2. Inputs'!$C$99)/'2. Inputs'!$C$100</f>
        <v/>
      </c>
      <c r="C249" s="81" t="n"/>
      <c r="D249" s="81">
        <f>$G$16*'2. Inputs'!D24+(1-$G$16)*$B$249</f>
        <v/>
      </c>
      <c r="E249" s="81">
        <f>$G$16*'2. Inputs'!E24+(1-$G$16)*$B$249</f>
        <v/>
      </c>
      <c r="F249" s="81">
        <f>$G$16*'2. Inputs'!F24+(1-$G$16)*$B$249</f>
        <v/>
      </c>
      <c r="G249" s="81">
        <f>$G$16*'2. Inputs'!G24+(1-$G$16)*$B$249</f>
        <v/>
      </c>
      <c r="H249" s="81">
        <f>$G$16*'2. Inputs'!H24+(1-$G$16)*$B$249</f>
        <v/>
      </c>
      <c r="I249" s="81">
        <f>$G$16*'2. Inputs'!I24+(1-$G$16)*$B$249</f>
        <v/>
      </c>
      <c r="J249" s="81">
        <f>$G$16*'2. Inputs'!J24+(1-$G$16)*$B$249</f>
        <v/>
      </c>
      <c r="K249" s="81">
        <f>$G$16*'2. Inputs'!K24+(1-$G$16)*$B$249</f>
        <v/>
      </c>
      <c r="L249" s="81">
        <f>$G$16*'2. Inputs'!L24+(1-$G$16)*$B$249</f>
        <v/>
      </c>
      <c r="M249" s="81">
        <f>$G$16*'2. Inputs'!M24+(1-$G$16)*$B$249</f>
        <v/>
      </c>
      <c r="N249" s="122" t="n"/>
      <c r="O249" s="2" t="inlineStr">
        <is>
          <t>Coluna B: frete unitário médio fora do Sudeste, nas proporções da origem (Sul 5%, NE 3%, N 2%, CO 10%).</t>
        </is>
      </c>
      <c r="P249" s="122" t="n"/>
      <c r="Q249" s="122" t="n"/>
      <c r="R249" s="122" t="n"/>
      <c r="S249" s="122" t="n"/>
      <c r="T249" s="122" t="n"/>
      <c r="U249" s="122" t="n"/>
      <c r="V249" s="122" t="n"/>
      <c r="W249" s="122" t="n"/>
      <c r="X249" s="122" t="n"/>
    </row>
    <row r="250">
      <c r="A250" s="71" t="inlineStr">
        <is>
          <t>Custo variável unitário (R$/un)</t>
        </is>
      </c>
      <c r="B250" s="122" t="n"/>
      <c r="C250" s="82" t="n"/>
      <c r="D250" s="82">
        <f>'2. Inputs'!D43*(1+$E$16)</f>
        <v/>
      </c>
      <c r="E250" s="82">
        <f>'2. Inputs'!E43*(1+$E$16)</f>
        <v/>
      </c>
      <c r="F250" s="82">
        <f>'2. Inputs'!F43*(1+$E$16)</f>
        <v/>
      </c>
      <c r="G250" s="82">
        <f>'2. Inputs'!G43*(1+$E$16)</f>
        <v/>
      </c>
      <c r="H250" s="82">
        <f>'2. Inputs'!H43*(1+$E$16)</f>
        <v/>
      </c>
      <c r="I250" s="82">
        <f>'2. Inputs'!I43*(1+$E$16)</f>
        <v/>
      </c>
      <c r="J250" s="82">
        <f>'2. Inputs'!J43*(1+$E$16)</f>
        <v/>
      </c>
      <c r="K250" s="82">
        <f>'2. Inputs'!K43*(1+$E$16)</f>
        <v/>
      </c>
      <c r="L250" s="82">
        <f>'2. Inputs'!L43*(1+$E$16)</f>
        <v/>
      </c>
      <c r="M250" s="82">
        <f>'2. Inputs'!M43*(1+$E$16)</f>
        <v/>
      </c>
      <c r="N250" s="122" t="n"/>
      <c r="O250" s="122" t="n"/>
      <c r="P250" s="122" t="n"/>
      <c r="Q250" s="122" t="n"/>
      <c r="R250" s="122" t="n"/>
      <c r="S250" s="122" t="n"/>
      <c r="T250" s="122" t="n"/>
      <c r="U250" s="122" t="n"/>
      <c r="V250" s="122" t="n"/>
      <c r="W250" s="122" t="n"/>
      <c r="X250" s="122" t="n"/>
    </row>
    <row r="251">
      <c r="A251" s="71" t="inlineStr">
        <is>
          <t>Markup total (%)</t>
        </is>
      </c>
      <c r="B251" s="122" t="n"/>
      <c r="C251" s="72" t="n"/>
      <c r="D251" s="72">
        <f>'2. Inputs'!D32+'2. Inputs'!D33+'2. Inputs'!D34+'2. Inputs'!D35+'2. Inputs'!D36+$D$16</f>
        <v/>
      </c>
      <c r="E251" s="72">
        <f>'2. Inputs'!E32+'2. Inputs'!E33+'2. Inputs'!E34+'2. Inputs'!E35+'2. Inputs'!E36+$D$16</f>
        <v/>
      </c>
      <c r="F251" s="72">
        <f>'2. Inputs'!F32+'2. Inputs'!F33+'2. Inputs'!F34+'2. Inputs'!F35+'2. Inputs'!F36+$D$16</f>
        <v/>
      </c>
      <c r="G251" s="72">
        <f>'2. Inputs'!G32+'2. Inputs'!G33+'2. Inputs'!G34+'2. Inputs'!G35+'2. Inputs'!G36+$D$16</f>
        <v/>
      </c>
      <c r="H251" s="72">
        <f>'2. Inputs'!H32+'2. Inputs'!H33+'2. Inputs'!H34+'2. Inputs'!H35+'2. Inputs'!H36+$D$16</f>
        <v/>
      </c>
      <c r="I251" s="72">
        <f>'2. Inputs'!I32+'2. Inputs'!I33+'2. Inputs'!I34+'2. Inputs'!I35+'2. Inputs'!I36+$D$16</f>
        <v/>
      </c>
      <c r="J251" s="72">
        <f>'2. Inputs'!J32+'2. Inputs'!J33+'2. Inputs'!J34+'2. Inputs'!J35+'2. Inputs'!J36+$D$16</f>
        <v/>
      </c>
      <c r="K251" s="72">
        <f>'2. Inputs'!K32+'2. Inputs'!K33+'2. Inputs'!K34+'2. Inputs'!K35+'2. Inputs'!K36+$D$16</f>
        <v/>
      </c>
      <c r="L251" s="72">
        <f>'2. Inputs'!L32+'2. Inputs'!L33+'2. Inputs'!L34+'2. Inputs'!L35+'2. Inputs'!L36+$D$16</f>
        <v/>
      </c>
      <c r="M251" s="72">
        <f>'2. Inputs'!M32+'2. Inputs'!M33+'2. Inputs'!M34+'2. Inputs'!M35+'2. Inputs'!M36+$D$16</f>
        <v/>
      </c>
      <c r="N251" s="122" t="n"/>
      <c r="O251" s="122" t="n"/>
      <c r="P251" s="122" t="n"/>
      <c r="Q251" s="122" t="n"/>
      <c r="R251" s="122" t="n"/>
      <c r="S251" s="122" t="n"/>
      <c r="T251" s="122" t="n"/>
      <c r="U251" s="122" t="n"/>
      <c r="V251" s="122" t="n"/>
      <c r="W251" s="122" t="n"/>
      <c r="X251" s="122" t="n"/>
    </row>
    <row r="252">
      <c r="A252" s="71" t="inlineStr">
        <is>
          <t>Custo variável (R$)</t>
        </is>
      </c>
      <c r="B252" s="122" t="n"/>
      <c r="C252" s="76" t="n"/>
      <c r="D252" s="76">
        <f>D248*D250</f>
        <v/>
      </c>
      <c r="E252" s="76">
        <f>E248*E250</f>
        <v/>
      </c>
      <c r="F252" s="76">
        <f>F248*F250</f>
        <v/>
      </c>
      <c r="G252" s="76">
        <f>G248*G250</f>
        <v/>
      </c>
      <c r="H252" s="76">
        <f>H248*H250</f>
        <v/>
      </c>
      <c r="I252" s="76">
        <f>I248*I250</f>
        <v/>
      </c>
      <c r="J252" s="76">
        <f>J248*J250</f>
        <v/>
      </c>
      <c r="K252" s="76">
        <f>K248*K250</f>
        <v/>
      </c>
      <c r="L252" s="76">
        <f>L248*L250</f>
        <v/>
      </c>
      <c r="M252" s="76">
        <f>M248*M250</f>
        <v/>
      </c>
      <c r="N252" s="122" t="n"/>
      <c r="O252" s="122" t="n"/>
      <c r="P252" s="122" t="n"/>
      <c r="Q252" s="122" t="n"/>
      <c r="R252" s="122" t="n"/>
      <c r="S252" s="122" t="n"/>
      <c r="T252" s="122" t="n"/>
      <c r="U252" s="122" t="n"/>
      <c r="V252" s="122" t="n"/>
      <c r="W252" s="122" t="n"/>
      <c r="X252" s="122" t="n"/>
    </row>
    <row r="253">
      <c r="A253" s="71" t="inlineStr">
        <is>
          <t>Frete (R$)</t>
        </is>
      </c>
      <c r="B253" s="122" t="n"/>
      <c r="C253" s="76" t="n"/>
      <c r="D253" s="76">
        <f>D248*D249</f>
        <v/>
      </c>
      <c r="E253" s="76">
        <f>E248*E249</f>
        <v/>
      </c>
      <c r="F253" s="76">
        <f>F248*F249</f>
        <v/>
      </c>
      <c r="G253" s="76">
        <f>G248*G249</f>
        <v/>
      </c>
      <c r="H253" s="76">
        <f>H248*H249</f>
        <v/>
      </c>
      <c r="I253" s="76">
        <f>I248*I249</f>
        <v/>
      </c>
      <c r="J253" s="76">
        <f>J248*J249</f>
        <v/>
      </c>
      <c r="K253" s="76">
        <f>K248*K249</f>
        <v/>
      </c>
      <c r="L253" s="76">
        <f>L248*L249</f>
        <v/>
      </c>
      <c r="M253" s="76">
        <f>M248*M249</f>
        <v/>
      </c>
      <c r="N253" s="122" t="n"/>
      <c r="O253" s="122" t="n"/>
      <c r="P253" s="122" t="n"/>
      <c r="Q253" s="122" t="n"/>
      <c r="R253" s="122" t="n"/>
      <c r="S253" s="122" t="n"/>
      <c r="T253" s="122" t="n"/>
      <c r="U253" s="122" t="n"/>
      <c r="V253" s="122" t="n"/>
      <c r="W253" s="122" t="n"/>
      <c r="X253" s="122" t="n"/>
    </row>
    <row r="254">
      <c r="A254" s="71" t="inlineStr">
        <is>
          <t>Custo fixo de estrutura (R$)</t>
        </is>
      </c>
      <c r="B254" s="122" t="n"/>
      <c r="C254" s="76" t="n"/>
      <c r="D254" s="76">
        <f>'2. Inputs'!D46</f>
        <v/>
      </c>
      <c r="E254" s="76">
        <f>'2. Inputs'!E46</f>
        <v/>
      </c>
      <c r="F254" s="76">
        <f>'2. Inputs'!F46</f>
        <v/>
      </c>
      <c r="G254" s="76">
        <f>'2. Inputs'!G46</f>
        <v/>
      </c>
      <c r="H254" s="76">
        <f>'2. Inputs'!H46</f>
        <v/>
      </c>
      <c r="I254" s="76">
        <f>'2. Inputs'!I46</f>
        <v/>
      </c>
      <c r="J254" s="76">
        <f>'2. Inputs'!J46</f>
        <v/>
      </c>
      <c r="K254" s="76">
        <f>'2. Inputs'!K46</f>
        <v/>
      </c>
      <c r="L254" s="76">
        <f>'2. Inputs'!L46</f>
        <v/>
      </c>
      <c r="M254" s="76">
        <f>'2. Inputs'!M46</f>
        <v/>
      </c>
      <c r="N254" s="122" t="n"/>
      <c r="O254" s="122" t="n"/>
      <c r="P254" s="122" t="n"/>
      <c r="Q254" s="122" t="n"/>
      <c r="R254" s="122" t="n"/>
      <c r="S254" s="122" t="n"/>
      <c r="T254" s="122" t="n"/>
      <c r="U254" s="122" t="n"/>
      <c r="V254" s="122" t="n"/>
      <c r="W254" s="122" t="n"/>
      <c r="X254" s="122" t="n"/>
    </row>
    <row r="255">
      <c r="A255" s="71" t="inlineStr">
        <is>
          <t>Manutenção e seguro (R$)</t>
        </is>
      </c>
      <c r="B255" s="122" t="n"/>
      <c r="C255" s="76" t="n"/>
      <c r="D255" s="76">
        <f>('2. Inputs'!D47+'2. Inputs'!D48)*'2. Inputs'!D54</f>
        <v/>
      </c>
      <c r="E255" s="76">
        <f>('2. Inputs'!E47+'2. Inputs'!E48)*'2. Inputs'!E54</f>
        <v/>
      </c>
      <c r="F255" s="76">
        <f>('2. Inputs'!F47+'2. Inputs'!F48)*'2. Inputs'!F54</f>
        <v/>
      </c>
      <c r="G255" s="76">
        <f>('2. Inputs'!G47+'2. Inputs'!G48)*'2. Inputs'!G54</f>
        <v/>
      </c>
      <c r="H255" s="76">
        <f>('2. Inputs'!H47+'2. Inputs'!H48)*'2. Inputs'!H54</f>
        <v/>
      </c>
      <c r="I255" s="76">
        <f>('2. Inputs'!I47+'2. Inputs'!I48)*'2. Inputs'!I54</f>
        <v/>
      </c>
      <c r="J255" s="76">
        <f>('2. Inputs'!J47+'2. Inputs'!J48)*'2. Inputs'!J54</f>
        <v/>
      </c>
      <c r="K255" s="76">
        <f>('2. Inputs'!K47+'2. Inputs'!K48)*'2. Inputs'!K54</f>
        <v/>
      </c>
      <c r="L255" s="76">
        <f>('2. Inputs'!L47+'2. Inputs'!L48)*'2. Inputs'!L54</f>
        <v/>
      </c>
      <c r="M255" s="76">
        <f>('2. Inputs'!M47+'2. Inputs'!M48)*'2. Inputs'!M54</f>
        <v/>
      </c>
      <c r="N255" s="122" t="n"/>
      <c r="O255" s="122" t="n"/>
      <c r="P255" s="122" t="n"/>
      <c r="Q255" s="122" t="n"/>
      <c r="R255" s="122" t="n"/>
      <c r="S255" s="122" t="n"/>
      <c r="T255" s="122" t="n"/>
      <c r="U255" s="122" t="n"/>
      <c r="V255" s="122" t="n"/>
      <c r="W255" s="122" t="n"/>
      <c r="X255" s="122" t="n"/>
    </row>
    <row r="256">
      <c r="A256" s="71" t="inlineStr">
        <is>
          <t>Contingência (R$)</t>
        </is>
      </c>
      <c r="B256" s="122" t="n"/>
      <c r="C256" s="76" t="n"/>
      <c r="D256" s="76">
        <f>$F$16*'2. Inputs'!D54</f>
        <v/>
      </c>
      <c r="E256" s="76">
        <f>$F$16*'2. Inputs'!E54</f>
        <v/>
      </c>
      <c r="F256" s="76">
        <f>$F$16*'2. Inputs'!F54</f>
        <v/>
      </c>
      <c r="G256" s="76">
        <f>$F$16*'2. Inputs'!G54</f>
        <v/>
      </c>
      <c r="H256" s="76">
        <f>$F$16*'2. Inputs'!H54</f>
        <v/>
      </c>
      <c r="I256" s="76">
        <f>$F$16*'2. Inputs'!I54</f>
        <v/>
      </c>
      <c r="J256" s="76">
        <f>$F$16*'2. Inputs'!J54</f>
        <v/>
      </c>
      <c r="K256" s="76">
        <f>$F$16*'2. Inputs'!K54</f>
        <v/>
      </c>
      <c r="L256" s="76">
        <f>$F$16*'2. Inputs'!L54</f>
        <v/>
      </c>
      <c r="M256" s="76">
        <f>$F$16*'2. Inputs'!M54</f>
        <v/>
      </c>
      <c r="N256" s="122" t="n"/>
      <c r="O256" s="122" t="n"/>
      <c r="P256" s="122" t="n"/>
      <c r="Q256" s="122" t="n"/>
      <c r="R256" s="122" t="n"/>
      <c r="S256" s="122" t="n"/>
      <c r="T256" s="122" t="n"/>
      <c r="U256" s="122" t="n"/>
      <c r="V256" s="122" t="n"/>
      <c r="W256" s="122" t="n"/>
      <c r="X256" s="122" t="n"/>
    </row>
    <row r="257">
      <c r="A257" s="71" t="inlineStr">
        <is>
          <t>Depreciação (R$)</t>
        </is>
      </c>
      <c r="B257" s="122" t="n"/>
      <c r="C257" s="76" t="n"/>
      <c r="D257" s="76">
        <f>'3. Depreciacao'!D31</f>
        <v/>
      </c>
      <c r="E257" s="76">
        <f>'3. Depreciacao'!E31</f>
        <v/>
      </c>
      <c r="F257" s="76">
        <f>'3. Depreciacao'!F31</f>
        <v/>
      </c>
      <c r="G257" s="76">
        <f>'3. Depreciacao'!G31</f>
        <v/>
      </c>
      <c r="H257" s="76">
        <f>'3. Depreciacao'!H31</f>
        <v/>
      </c>
      <c r="I257" s="76">
        <f>'3. Depreciacao'!I31</f>
        <v/>
      </c>
      <c r="J257" s="76">
        <f>'3. Depreciacao'!J31</f>
        <v/>
      </c>
      <c r="K257" s="76">
        <f>'3. Depreciacao'!K31</f>
        <v/>
      </c>
      <c r="L257" s="76">
        <f>'3. Depreciacao'!L31</f>
        <v/>
      </c>
      <c r="M257" s="76">
        <f>'3. Depreciacao'!M31</f>
        <v/>
      </c>
      <c r="N257" s="122" t="n"/>
      <c r="O257" s="122" t="n"/>
      <c r="P257" s="122" t="n"/>
      <c r="Q257" s="122" t="n"/>
      <c r="R257" s="122" t="n"/>
      <c r="S257" s="122" t="n"/>
      <c r="T257" s="122" t="n"/>
      <c r="U257" s="122" t="n"/>
      <c r="V257" s="122" t="n"/>
      <c r="W257" s="122" t="n"/>
      <c r="X257" s="122" t="n"/>
    </row>
    <row r="258">
      <c r="A258" s="71" t="inlineStr">
        <is>
          <t>Custo total (R$)</t>
        </is>
      </c>
      <c r="B258" s="122" t="n"/>
      <c r="C258" s="76" t="n"/>
      <c r="D258" s="76">
        <f>SUM(D252:D257)</f>
        <v/>
      </c>
      <c r="E258" s="76">
        <f>SUM(E252:E257)</f>
        <v/>
      </c>
      <c r="F258" s="76">
        <f>SUM(F252:F257)</f>
        <v/>
      </c>
      <c r="G258" s="76">
        <f>SUM(G252:G257)</f>
        <v/>
      </c>
      <c r="H258" s="76">
        <f>SUM(H252:H257)</f>
        <v/>
      </c>
      <c r="I258" s="76">
        <f>SUM(I252:I257)</f>
        <v/>
      </c>
      <c r="J258" s="76">
        <f>SUM(J252:J257)</f>
        <v/>
      </c>
      <c r="K258" s="76">
        <f>SUM(K252:K257)</f>
        <v/>
      </c>
      <c r="L258" s="76">
        <f>SUM(L252:L257)</f>
        <v/>
      </c>
      <c r="M258" s="76">
        <f>SUM(M252:M257)</f>
        <v/>
      </c>
      <c r="N258" s="122" t="n"/>
      <c r="O258" s="122" t="n"/>
      <c r="P258" s="122" t="n"/>
      <c r="Q258" s="122" t="n"/>
      <c r="R258" s="122" t="n"/>
      <c r="S258" s="122" t="n"/>
      <c r="T258" s="122" t="n"/>
      <c r="U258" s="122" t="n"/>
      <c r="V258" s="122" t="n"/>
      <c r="W258" s="122" t="n"/>
      <c r="X258" s="122" t="n"/>
    </row>
    <row r="259">
      <c r="A259" s="71" t="inlineStr">
        <is>
          <t>Preço bruto unitário (R$/un)</t>
        </is>
      </c>
      <c r="B259" s="122" t="n"/>
      <c r="C259" s="82" t="n"/>
      <c r="D259" s="82">
        <f>IF('2. Inputs'!$C$38=1,D258/D248/(1-D251),'2. Inputs'!D39)</f>
        <v/>
      </c>
      <c r="E259" s="82">
        <f>IF('2. Inputs'!$C$38=1,E258/E248/(1-E251),'2. Inputs'!E39)</f>
        <v/>
      </c>
      <c r="F259" s="82">
        <f>IF('2. Inputs'!$C$38=1,F258/F248/(1-F251),'2. Inputs'!F39)</f>
        <v/>
      </c>
      <c r="G259" s="82">
        <f>IF('2. Inputs'!$C$38=1,G258/G248/(1-G251),'2. Inputs'!G39)</f>
        <v/>
      </c>
      <c r="H259" s="82">
        <f>IF('2. Inputs'!$C$38=1,H258/H248/(1-H251),'2. Inputs'!H39)</f>
        <v/>
      </c>
      <c r="I259" s="82">
        <f>IF('2. Inputs'!$C$38=1,I258/I248/(1-I251),'2. Inputs'!I39)</f>
        <v/>
      </c>
      <c r="J259" s="82">
        <f>IF('2. Inputs'!$C$38=1,J258/J248/(1-J251),'2. Inputs'!J39)</f>
        <v/>
      </c>
      <c r="K259" s="82">
        <f>IF('2. Inputs'!$C$38=1,K258/K248/(1-K251),'2. Inputs'!K39)</f>
        <v/>
      </c>
      <c r="L259" s="82">
        <f>IF('2. Inputs'!$C$38=1,L258/L248/(1-L251),'2. Inputs'!L39)</f>
        <v/>
      </c>
      <c r="M259" s="82">
        <f>IF('2. Inputs'!$C$38=1,M258/M248/(1-M251),'2. Inputs'!M39)</f>
        <v/>
      </c>
      <c r="N259" s="122" t="n"/>
      <c r="O259" s="122" t="n"/>
      <c r="P259" s="122" t="n"/>
      <c r="Q259" s="122" t="n"/>
      <c r="R259" s="122" t="n"/>
      <c r="S259" s="122" t="n"/>
      <c r="T259" s="122" t="n"/>
      <c r="U259" s="122" t="n"/>
      <c r="V259" s="122" t="n"/>
      <c r="W259" s="122" t="n"/>
      <c r="X259" s="122" t="n"/>
    </row>
    <row r="260">
      <c r="A260" s="71" t="inlineStr">
        <is>
          <t>Receita bruta (R$)</t>
        </is>
      </c>
      <c r="B260" s="122" t="n"/>
      <c r="C260" s="76" t="n"/>
      <c r="D260" s="76">
        <f>D248*D259</f>
        <v/>
      </c>
      <c r="E260" s="76">
        <f>E248*E259</f>
        <v/>
      </c>
      <c r="F260" s="76">
        <f>F248*F259</f>
        <v/>
      </c>
      <c r="G260" s="76">
        <f>G248*G259</f>
        <v/>
      </c>
      <c r="H260" s="76">
        <f>H248*H259</f>
        <v/>
      </c>
      <c r="I260" s="76">
        <f>I248*I259</f>
        <v/>
      </c>
      <c r="J260" s="76">
        <f>J248*J259</f>
        <v/>
      </c>
      <c r="K260" s="76">
        <f>K248*K259</f>
        <v/>
      </c>
      <c r="L260" s="76">
        <f>L248*L259</f>
        <v/>
      </c>
      <c r="M260" s="76">
        <f>M248*M259</f>
        <v/>
      </c>
      <c r="N260" s="122" t="n"/>
      <c r="O260" s="122" t="n"/>
      <c r="P260" s="122" t="n"/>
      <c r="Q260" s="122" t="n"/>
      <c r="R260" s="122" t="n"/>
      <c r="S260" s="122" t="n"/>
      <c r="T260" s="122" t="n"/>
      <c r="U260" s="122" t="n"/>
      <c r="V260" s="122" t="n"/>
      <c r="W260" s="122" t="n"/>
      <c r="X260" s="122" t="n"/>
    </row>
    <row r="261">
      <c r="A261" s="71" t="inlineStr">
        <is>
          <t>Comissão (R$)</t>
        </is>
      </c>
      <c r="B261" s="122" t="n"/>
      <c r="C261" s="76" t="n"/>
      <c r="D261" s="76">
        <f>'2. Inputs'!D35*D260</f>
        <v/>
      </c>
      <c r="E261" s="76">
        <f>'2. Inputs'!E35*E260</f>
        <v/>
      </c>
      <c r="F261" s="76">
        <f>'2. Inputs'!F35*F260</f>
        <v/>
      </c>
      <c r="G261" s="76">
        <f>'2. Inputs'!G35*G260</f>
        <v/>
      </c>
      <c r="H261" s="76">
        <f>'2. Inputs'!H35*H260</f>
        <v/>
      </c>
      <c r="I261" s="76">
        <f>'2. Inputs'!I35*I260</f>
        <v/>
      </c>
      <c r="J261" s="76">
        <f>'2. Inputs'!J35*J260</f>
        <v/>
      </c>
      <c r="K261" s="76">
        <f>'2. Inputs'!K35*K260</f>
        <v/>
      </c>
      <c r="L261" s="76">
        <f>'2. Inputs'!L35*L260</f>
        <v/>
      </c>
      <c r="M261" s="76">
        <f>'2. Inputs'!M35*M260</f>
        <v/>
      </c>
      <c r="N261" s="122" t="n"/>
      <c r="O261" s="122" t="n"/>
      <c r="P261" s="122" t="n"/>
      <c r="Q261" s="122" t="n"/>
      <c r="R261" s="122" t="n"/>
      <c r="S261" s="122" t="n"/>
      <c r="T261" s="122" t="n"/>
      <c r="U261" s="122" t="n"/>
      <c r="V261" s="122" t="n"/>
      <c r="W261" s="122" t="n"/>
      <c r="X261" s="122" t="n"/>
    </row>
    <row r="262">
      <c r="A262" s="71" t="inlineStr">
        <is>
          <t>Receita líquida (R$)</t>
        </is>
      </c>
      <c r="B262" s="122" t="n"/>
      <c r="C262" s="76" t="n"/>
      <c r="D262" s="76">
        <f>D260*(1-'2. Inputs'!D32-'2. Inputs'!D33-'2. Inputs'!D34)</f>
        <v/>
      </c>
      <c r="E262" s="76">
        <f>E260*(1-'2. Inputs'!E32-'2. Inputs'!E33-'2. Inputs'!E34)</f>
        <v/>
      </c>
      <c r="F262" s="76">
        <f>F260*(1-'2. Inputs'!F32-'2. Inputs'!F33-'2. Inputs'!F34)</f>
        <v/>
      </c>
      <c r="G262" s="76">
        <f>G260*(1-'2. Inputs'!G32-'2. Inputs'!G33-'2. Inputs'!G34)</f>
        <v/>
      </c>
      <c r="H262" s="76">
        <f>H260*(1-'2. Inputs'!H32-'2. Inputs'!H33-'2. Inputs'!H34)</f>
        <v/>
      </c>
      <c r="I262" s="76">
        <f>I260*(1-'2. Inputs'!I32-'2. Inputs'!I33-'2. Inputs'!I34)</f>
        <v/>
      </c>
      <c r="J262" s="76">
        <f>J260*(1-'2. Inputs'!J32-'2. Inputs'!J33-'2. Inputs'!J34)</f>
        <v/>
      </c>
      <c r="K262" s="76">
        <f>K260*(1-'2. Inputs'!K32-'2. Inputs'!K33-'2. Inputs'!K34)</f>
        <v/>
      </c>
      <c r="L262" s="76">
        <f>L260*(1-'2. Inputs'!L32-'2. Inputs'!L33-'2. Inputs'!L34)</f>
        <v/>
      </c>
      <c r="M262" s="76">
        <f>M260*(1-'2. Inputs'!M32-'2. Inputs'!M33-'2. Inputs'!M34)</f>
        <v/>
      </c>
      <c r="N262" s="122" t="n"/>
      <c r="O262" s="122" t="n"/>
      <c r="P262" s="122" t="n"/>
      <c r="Q262" s="122" t="n"/>
      <c r="R262" s="122" t="n"/>
      <c r="S262" s="122" t="n"/>
      <c r="T262" s="122" t="n"/>
      <c r="U262" s="122" t="n"/>
      <c r="V262" s="122" t="n"/>
      <c r="W262" s="122" t="n"/>
      <c r="X262" s="122" t="n"/>
    </row>
    <row r="263">
      <c r="A263" s="71" t="inlineStr">
        <is>
          <t>EBITDA (R$)</t>
        </is>
      </c>
      <c r="B263" s="122" t="n"/>
      <c r="C263" s="76" t="n"/>
      <c r="D263" s="76">
        <f>D262-D252-D253-D261-D254-D255-D256</f>
        <v/>
      </c>
      <c r="E263" s="76">
        <f>E262-E252-E253-E261-E254-E255-E256</f>
        <v/>
      </c>
      <c r="F263" s="76">
        <f>F262-F252-F253-F261-F254-F255-F256</f>
        <v/>
      </c>
      <c r="G263" s="76">
        <f>G262-G252-G253-G261-G254-G255-G256</f>
        <v/>
      </c>
      <c r="H263" s="76">
        <f>H262-H252-H253-H261-H254-H255-H256</f>
        <v/>
      </c>
      <c r="I263" s="76">
        <f>I262-I252-I253-I261-I254-I255-I256</f>
        <v/>
      </c>
      <c r="J263" s="76">
        <f>J262-J252-J253-J261-J254-J255-J256</f>
        <v/>
      </c>
      <c r="K263" s="76">
        <f>K262-K252-K253-K261-K254-K255-K256</f>
        <v/>
      </c>
      <c r="L263" s="76">
        <f>L262-L252-L253-L261-L254-L255-L256</f>
        <v/>
      </c>
      <c r="M263" s="76">
        <f>M262-M252-M253-M261-M254-M255-M256</f>
        <v/>
      </c>
      <c r="N263" s="122" t="n"/>
      <c r="O263" s="122" t="n"/>
      <c r="P263" s="122" t="n"/>
      <c r="Q263" s="122" t="n"/>
      <c r="R263" s="122" t="n"/>
      <c r="S263" s="122" t="n"/>
      <c r="T263" s="122" t="n"/>
      <c r="U263" s="122" t="n"/>
      <c r="V263" s="122" t="n"/>
      <c r="W263" s="122" t="n"/>
      <c r="X263" s="122" t="n"/>
    </row>
    <row r="264">
      <c r="A264" s="71" t="inlineStr">
        <is>
          <t>EBIT (R$)</t>
        </is>
      </c>
      <c r="B264" s="122" t="n"/>
      <c r="C264" s="76" t="n"/>
      <c r="D264" s="76">
        <f>D263-D257</f>
        <v/>
      </c>
      <c r="E264" s="76">
        <f>E263-E257</f>
        <v/>
      </c>
      <c r="F264" s="76">
        <f>F263-F257</f>
        <v/>
      </c>
      <c r="G264" s="76">
        <f>G263-G257</f>
        <v/>
      </c>
      <c r="H264" s="76">
        <f>H263-H257</f>
        <v/>
      </c>
      <c r="I264" s="76">
        <f>I263-I257</f>
        <v/>
      </c>
      <c r="J264" s="76">
        <f>J263-J257</f>
        <v/>
      </c>
      <c r="K264" s="76">
        <f>K263-K257</f>
        <v/>
      </c>
      <c r="L264" s="76">
        <f>L263-L257</f>
        <v/>
      </c>
      <c r="M264" s="76">
        <f>M263-M257</f>
        <v/>
      </c>
      <c r="N264" s="122" t="n"/>
      <c r="O264" s="122" t="n"/>
      <c r="P264" s="122" t="n"/>
      <c r="Q264" s="122" t="n"/>
      <c r="R264" s="122" t="n"/>
      <c r="S264" s="122" t="n"/>
      <c r="T264" s="122" t="n"/>
      <c r="U264" s="122" t="n"/>
      <c r="V264" s="122" t="n"/>
      <c r="W264" s="122" t="n"/>
      <c r="X264" s="122" t="n"/>
    </row>
    <row r="265">
      <c r="A265" s="71" t="inlineStr">
        <is>
          <t>IRPJ + adicional + CSLL (R$)</t>
        </is>
      </c>
      <c r="B265" s="122" t="n"/>
      <c r="C265" s="76" t="n"/>
      <c r="D265" s="76">
        <f>IF(D264&gt;0,'2. Inputs'!D58*D264+'2. Inputs'!D59*MAX(0,D264-'2. Inputs'!D60)+'2. Inputs'!D61*D264,0)</f>
        <v/>
      </c>
      <c r="E265" s="76">
        <f>IF(E264&gt;0,'2. Inputs'!E58*E264+'2. Inputs'!E59*MAX(0,E264-'2. Inputs'!E60)+'2. Inputs'!E61*E264,0)</f>
        <v/>
      </c>
      <c r="F265" s="76">
        <f>IF(F264&gt;0,'2. Inputs'!F58*F264+'2. Inputs'!F59*MAX(0,F264-'2. Inputs'!F60)+'2. Inputs'!F61*F264,0)</f>
        <v/>
      </c>
      <c r="G265" s="76">
        <f>IF(G264&gt;0,'2. Inputs'!G58*G264+'2. Inputs'!G59*MAX(0,G264-'2. Inputs'!G60)+'2. Inputs'!G61*G264,0)</f>
        <v/>
      </c>
      <c r="H265" s="76">
        <f>IF(H264&gt;0,'2. Inputs'!H58*H264+'2. Inputs'!H59*MAX(0,H264-'2. Inputs'!H60)+'2. Inputs'!H61*H264,0)</f>
        <v/>
      </c>
      <c r="I265" s="76">
        <f>IF(I264&gt;0,'2. Inputs'!I58*I264+'2. Inputs'!I59*MAX(0,I264-'2. Inputs'!I60)+'2. Inputs'!I61*I264,0)</f>
        <v/>
      </c>
      <c r="J265" s="76">
        <f>IF(J264&gt;0,'2. Inputs'!J58*J264+'2. Inputs'!J59*MAX(0,J264-'2. Inputs'!J60)+'2. Inputs'!J61*J264,0)</f>
        <v/>
      </c>
      <c r="K265" s="76">
        <f>IF(K264&gt;0,'2. Inputs'!K58*K264+'2. Inputs'!K59*MAX(0,K264-'2. Inputs'!K60)+'2. Inputs'!K61*K264,0)</f>
        <v/>
      </c>
      <c r="L265" s="76">
        <f>IF(L264&gt;0,'2. Inputs'!L58*L264+'2. Inputs'!L59*MAX(0,L264-'2. Inputs'!L60)+'2. Inputs'!L61*L264,0)</f>
        <v/>
      </c>
      <c r="M265" s="76">
        <f>IF(M264&gt;0,'2. Inputs'!M58*M264+'2. Inputs'!M59*MAX(0,M264-'2. Inputs'!M60)+'2. Inputs'!M61*M264,0)</f>
        <v/>
      </c>
      <c r="N265" s="122" t="n"/>
      <c r="O265" s="122" t="n"/>
      <c r="P265" s="122" t="n"/>
      <c r="Q265" s="122" t="n"/>
      <c r="R265" s="122" t="n"/>
      <c r="S265" s="122" t="n"/>
      <c r="T265" s="122" t="n"/>
      <c r="U265" s="122" t="n"/>
      <c r="V265" s="122" t="n"/>
      <c r="W265" s="122" t="n"/>
      <c r="X265" s="122" t="n"/>
    </row>
    <row r="266">
      <c r="A266" s="71" t="inlineStr">
        <is>
          <t>NOPAT (R$)</t>
        </is>
      </c>
      <c r="B266" s="122" t="n"/>
      <c r="C266" s="76" t="n"/>
      <c r="D266" s="76">
        <f>D264-D265</f>
        <v/>
      </c>
      <c r="E266" s="76">
        <f>E264-E265</f>
        <v/>
      </c>
      <c r="F266" s="76">
        <f>F264-F265</f>
        <v/>
      </c>
      <c r="G266" s="76">
        <f>G264-G265</f>
        <v/>
      </c>
      <c r="H266" s="76">
        <f>H264-H265</f>
        <v/>
      </c>
      <c r="I266" s="76">
        <f>I264-I265</f>
        <v/>
      </c>
      <c r="J266" s="76">
        <f>J264-J265</f>
        <v/>
      </c>
      <c r="K266" s="76">
        <f>K264-K265</f>
        <v/>
      </c>
      <c r="L266" s="76">
        <f>L264-L265</f>
        <v/>
      </c>
      <c r="M266" s="76">
        <f>M264-M265</f>
        <v/>
      </c>
      <c r="N266" s="122" t="n"/>
      <c r="O266" s="122" t="n"/>
      <c r="P266" s="122" t="n"/>
      <c r="Q266" s="122" t="n"/>
      <c r="R266" s="122" t="n"/>
      <c r="S266" s="122" t="n"/>
      <c r="T266" s="122" t="n"/>
      <c r="U266" s="122" t="n"/>
      <c r="V266" s="122" t="n"/>
      <c r="W266" s="122" t="n"/>
      <c r="X266" s="122" t="n"/>
    </row>
    <row r="267">
      <c r="A267" s="71" t="inlineStr">
        <is>
          <t>Capital de giro (R$)</t>
        </is>
      </c>
      <c r="B267" s="122" t="n"/>
      <c r="C267" s="76">
        <f>D267</f>
        <v/>
      </c>
      <c r="D267" s="76">
        <f>'2. Inputs'!D64/'2. Inputs'!D68*D260+'2. Inputs'!D65/'2. Inputs'!D68*(D252+D253)+'2. Inputs'!D67/'2. Inputs'!D68*(D252+D253+D261+D254+D255+D256)-'2. Inputs'!D66/'2. Inputs'!D68*(D252+D253)</f>
        <v/>
      </c>
      <c r="E267" s="76">
        <f>'2. Inputs'!E64/'2. Inputs'!E68*E260+'2. Inputs'!E65/'2. Inputs'!E68*(E252+E253)+'2. Inputs'!E67/'2. Inputs'!E68*(E252+E253+E261+E254+E255+E256)-'2. Inputs'!E66/'2. Inputs'!E68*(E252+E253)</f>
        <v/>
      </c>
      <c r="F267" s="76">
        <f>'2. Inputs'!F64/'2. Inputs'!F68*F260+'2. Inputs'!F65/'2. Inputs'!F68*(F252+F253)+'2. Inputs'!F67/'2. Inputs'!F68*(F252+F253+F261+F254+F255+F256)-'2. Inputs'!F66/'2. Inputs'!F68*(F252+F253)</f>
        <v/>
      </c>
      <c r="G267" s="76">
        <f>'2. Inputs'!G64/'2. Inputs'!G68*G260+'2. Inputs'!G65/'2. Inputs'!G68*(G252+G253)+'2. Inputs'!G67/'2. Inputs'!G68*(G252+G253+G261+G254+G255+G256)-'2. Inputs'!G66/'2. Inputs'!G68*(G252+G253)</f>
        <v/>
      </c>
      <c r="H267" s="76">
        <f>'2. Inputs'!H64/'2. Inputs'!H68*H260+'2. Inputs'!H65/'2. Inputs'!H68*(H252+H253)+'2. Inputs'!H67/'2. Inputs'!H68*(H252+H253+H261+H254+H255+H256)-'2. Inputs'!H66/'2. Inputs'!H68*(H252+H253)</f>
        <v/>
      </c>
      <c r="I267" s="76">
        <f>'2. Inputs'!I64/'2. Inputs'!I68*I260+'2. Inputs'!I65/'2. Inputs'!I68*(I252+I253)+'2. Inputs'!I67/'2. Inputs'!I68*(I252+I253+I261+I254+I255+I256)-'2. Inputs'!I66/'2. Inputs'!I68*(I252+I253)</f>
        <v/>
      </c>
      <c r="J267" s="76">
        <f>'2. Inputs'!J64/'2. Inputs'!J68*J260+'2. Inputs'!J65/'2. Inputs'!J68*(J252+J253)+'2. Inputs'!J67/'2. Inputs'!J68*(J252+J253+J261+J254+J255+J256)-'2. Inputs'!J66/'2. Inputs'!J68*(J252+J253)</f>
        <v/>
      </c>
      <c r="K267" s="76">
        <f>'2. Inputs'!K64/'2. Inputs'!K68*K260+'2. Inputs'!K65/'2. Inputs'!K68*(K252+K253)+'2. Inputs'!K67/'2. Inputs'!K68*(K252+K253+K261+K254+K255+K256)-'2. Inputs'!K66/'2. Inputs'!K68*(K252+K253)</f>
        <v/>
      </c>
      <c r="L267" s="76">
        <f>'2. Inputs'!L64/'2. Inputs'!L68*L260+'2. Inputs'!L65/'2. Inputs'!L68*(L252+L253)+'2. Inputs'!L67/'2. Inputs'!L68*(L252+L253+L261+L254+L255+L256)-'2. Inputs'!L66/'2. Inputs'!L68*(L252+L253)</f>
        <v/>
      </c>
      <c r="M267" s="76">
        <f>'2. Inputs'!M64/'2. Inputs'!M68*M260+'2. Inputs'!M65/'2. Inputs'!M68*(M252+M253)+'2. Inputs'!M67/'2. Inputs'!M68*(M252+M253+M261+M254+M255+M256)-'2. Inputs'!M66/'2. Inputs'!M68*(M252+M253)</f>
        <v/>
      </c>
      <c r="N267" s="122" t="n"/>
      <c r="O267" s="122" t="n"/>
      <c r="P267" s="122" t="n"/>
      <c r="Q267" s="122" t="n"/>
      <c r="R267" s="122" t="n"/>
      <c r="S267" s="122" t="n"/>
      <c r="T267" s="122" t="n"/>
      <c r="U267" s="122" t="n"/>
      <c r="V267" s="122" t="n"/>
      <c r="W267" s="122" t="n"/>
      <c r="X267" s="122" t="n"/>
    </row>
    <row r="268">
      <c r="A268" s="71" t="inlineStr">
        <is>
          <t>Δ capital de giro (R$)</t>
        </is>
      </c>
      <c r="B268" s="122" t="n"/>
      <c r="C268" s="76">
        <f>C267</f>
        <v/>
      </c>
      <c r="D268" s="76">
        <f>D267-C267</f>
        <v/>
      </c>
      <c r="E268" s="76">
        <f>E267-D267</f>
        <v/>
      </c>
      <c r="F268" s="76">
        <f>F267-E267</f>
        <v/>
      </c>
      <c r="G268" s="76">
        <f>G267-F267</f>
        <v/>
      </c>
      <c r="H268" s="76">
        <f>H267-G267</f>
        <v/>
      </c>
      <c r="I268" s="76">
        <f>I267-H267</f>
        <v/>
      </c>
      <c r="J268" s="76">
        <f>J267-I267</f>
        <v/>
      </c>
      <c r="K268" s="76">
        <f>K267-J267</f>
        <v/>
      </c>
      <c r="L268" s="76">
        <f>L267-K267</f>
        <v/>
      </c>
      <c r="M268" s="76">
        <f>M267-L267</f>
        <v/>
      </c>
      <c r="N268" s="122" t="n"/>
      <c r="O268" s="122" t="n"/>
      <c r="P268" s="122" t="n"/>
      <c r="Q268" s="122" t="n"/>
      <c r="R268" s="122" t="n"/>
      <c r="S268" s="122" t="n"/>
      <c r="T268" s="122" t="n"/>
      <c r="U268" s="122" t="n"/>
      <c r="V268" s="122" t="n"/>
      <c r="W268" s="122" t="n"/>
      <c r="X268" s="122" t="n"/>
    </row>
    <row r="269">
      <c r="A269" s="71" t="inlineStr">
        <is>
          <t>Fluxo de caixa livre (R$)</t>
        </is>
      </c>
      <c r="B269" s="122" t="n"/>
      <c r="C269" s="83">
        <f>-C268-'2. Inputs'!C53</f>
        <v/>
      </c>
      <c r="D269" s="83">
        <f>D266+D257-D268-'2. Inputs'!D53+IF(D$247=10,D267,0)</f>
        <v/>
      </c>
      <c r="E269" s="83">
        <f>E266+E257-E268-'2. Inputs'!E53+IF(E$247=10,E267,0)</f>
        <v/>
      </c>
      <c r="F269" s="83">
        <f>F266+F257-F268-'2. Inputs'!F53+IF(F$247=10,F267,0)</f>
        <v/>
      </c>
      <c r="G269" s="83">
        <f>G266+G257-G268-'2. Inputs'!G53+IF(G$247=10,G267,0)</f>
        <v/>
      </c>
      <c r="H269" s="83">
        <f>H266+H257-H268-'2. Inputs'!H53+IF(H$247=10,H267,0)</f>
        <v/>
      </c>
      <c r="I269" s="83">
        <f>I266+I257-I268-'2. Inputs'!I53+IF(I$247=10,I267,0)</f>
        <v/>
      </c>
      <c r="J269" s="83">
        <f>J266+J257-J268-'2. Inputs'!J53+IF(J$247=10,J267,0)</f>
        <v/>
      </c>
      <c r="K269" s="83">
        <f>K266+K257-K268-'2. Inputs'!K53+IF(K$247=10,K267,0)</f>
        <v/>
      </c>
      <c r="L269" s="83">
        <f>L266+L257-L268-'2. Inputs'!L53+IF(L$247=10,L267,0)</f>
        <v/>
      </c>
      <c r="M269" s="83">
        <f>M266+M257-M268-'2. Inputs'!M53+IF(M$247=10,M267,0)</f>
        <v/>
      </c>
      <c r="N269" s="84">
        <f>C269/(1+'2. Inputs'!$C$81)^C247</f>
        <v/>
      </c>
      <c r="O269" s="84">
        <f>N269+D269/(1+'2. Inputs'!$C$81)^D247</f>
        <v/>
      </c>
      <c r="P269" s="84">
        <f>O269+E269/(1+'2. Inputs'!$C$81)^E247</f>
        <v/>
      </c>
      <c r="Q269" s="84">
        <f>P269+F269/(1+'2. Inputs'!$C$81)^F247</f>
        <v/>
      </c>
      <c r="R269" s="84">
        <f>Q269+G269/(1+'2. Inputs'!$C$81)^G247</f>
        <v/>
      </c>
      <c r="S269" s="84">
        <f>R269+H269/(1+'2. Inputs'!$C$81)^H247</f>
        <v/>
      </c>
      <c r="T269" s="84">
        <f>S269+I269/(1+'2. Inputs'!$C$81)^I247</f>
        <v/>
      </c>
      <c r="U269" s="84">
        <f>T269+J269/(1+'2. Inputs'!$C$81)^J247</f>
        <v/>
      </c>
      <c r="V269" s="84">
        <f>U269+K269/(1+'2. Inputs'!$C$81)^K247</f>
        <v/>
      </c>
      <c r="W269" s="84">
        <f>V269+L269/(1+'2. Inputs'!$C$81)^L247</f>
        <v/>
      </c>
      <c r="X269" s="84">
        <f>W269+M269/(1+'2. Inputs'!$C$81)^M247</f>
        <v/>
      </c>
    </row>
    <row r="270">
      <c r="A270" s="122" t="n"/>
      <c r="B270" s="122" t="n"/>
      <c r="C270" s="122" t="n"/>
      <c r="D270" s="122" t="n"/>
      <c r="E270" s="122" t="n"/>
      <c r="F270" s="122" t="n"/>
      <c r="G270" s="122" t="n"/>
      <c r="H270" s="122" t="n"/>
      <c r="I270" s="122" t="n"/>
      <c r="J270" s="122" t="n"/>
      <c r="K270" s="122" t="n"/>
      <c r="L270" s="122" t="n"/>
      <c r="M270" s="122" t="n"/>
      <c r="N270" s="122" t="n"/>
      <c r="O270" s="122" t="n"/>
      <c r="P270" s="122" t="n"/>
      <c r="Q270" s="122" t="n"/>
      <c r="R270" s="122" t="n"/>
      <c r="S270" s="122" t="n"/>
      <c r="T270" s="122" t="n"/>
      <c r="U270" s="122" t="n"/>
      <c r="V270" s="122" t="n"/>
      <c r="W270" s="122" t="n"/>
      <c r="X270" s="122" t="n"/>
    </row>
    <row r="271">
      <c r="A271" s="15" t="inlineStr">
        <is>
          <t>CORRIDA 11 — Contingência 5%</t>
        </is>
      </c>
      <c r="B271" s="126" t="n"/>
      <c r="C271" s="126" t="n"/>
      <c r="D271" s="126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2" t="n"/>
      <c r="O271" s="122" t="n"/>
      <c r="P271" s="122" t="n"/>
      <c r="Q271" s="122" t="n"/>
      <c r="R271" s="122" t="n"/>
      <c r="S271" s="122" t="n"/>
      <c r="T271" s="122" t="n"/>
      <c r="U271" s="122" t="n"/>
      <c r="V271" s="122" t="n"/>
      <c r="W271" s="122" t="n"/>
      <c r="X271" s="122" t="n"/>
    </row>
    <row r="272">
      <c r="A272" s="78" t="inlineStr">
        <is>
          <t>Ano</t>
        </is>
      </c>
      <c r="B272" s="122" t="n"/>
      <c r="C272" s="79" t="n">
        <v>0</v>
      </c>
      <c r="D272" s="79" t="n">
        <v>1</v>
      </c>
      <c r="E272" s="79" t="n">
        <v>2</v>
      </c>
      <c r="F272" s="79" t="n">
        <v>3</v>
      </c>
      <c r="G272" s="79" t="n">
        <v>4</v>
      </c>
      <c r="H272" s="79" t="n">
        <v>5</v>
      </c>
      <c r="I272" s="79" t="n">
        <v>6</v>
      </c>
      <c r="J272" s="79" t="n">
        <v>7</v>
      </c>
      <c r="K272" s="79" t="n">
        <v>8</v>
      </c>
      <c r="L272" s="79" t="n">
        <v>9</v>
      </c>
      <c r="M272" s="79" t="n">
        <v>10</v>
      </c>
      <c r="N272" s="122" t="n"/>
      <c r="O272" s="122" t="n"/>
      <c r="P272" s="122" t="n"/>
      <c r="Q272" s="122" t="n"/>
      <c r="R272" s="122" t="n"/>
      <c r="S272" s="122" t="n"/>
      <c r="T272" s="122" t="n"/>
      <c r="U272" s="122" t="n"/>
      <c r="V272" s="122" t="n"/>
      <c r="W272" s="122" t="n"/>
      <c r="X272" s="122" t="n"/>
    </row>
    <row r="273">
      <c r="A273" s="71" t="inlineStr">
        <is>
          <t>Volume (un)</t>
        </is>
      </c>
      <c r="B273" s="122" t="n"/>
      <c r="C273" s="76" t="n"/>
      <c r="D273" s="76">
        <f>'2. Inputs'!D11*(1+$C$17)</f>
        <v/>
      </c>
      <c r="E273" s="76">
        <f>'2. Inputs'!E11*(1+$C$17)</f>
        <v/>
      </c>
      <c r="F273" s="76">
        <f>'2. Inputs'!F11*(1+$C$17)</f>
        <v/>
      </c>
      <c r="G273" s="76">
        <f>'2. Inputs'!G11*(1+$C$17)</f>
        <v/>
      </c>
      <c r="H273" s="76">
        <f>'2. Inputs'!H11*(1+$C$17)</f>
        <v/>
      </c>
      <c r="I273" s="76">
        <f>'2. Inputs'!I11*(1+$C$17)</f>
        <v/>
      </c>
      <c r="J273" s="76">
        <f>'2. Inputs'!J11*(1+$C$17)</f>
        <v/>
      </c>
      <c r="K273" s="76">
        <f>'2. Inputs'!K11*(1+$C$17)</f>
        <v/>
      </c>
      <c r="L273" s="76">
        <f>'2. Inputs'!L11*(1+$C$17)</f>
        <v/>
      </c>
      <c r="M273" s="76">
        <f>'2. Inputs'!M11*(1+$C$17)</f>
        <v/>
      </c>
      <c r="N273" s="122" t="n"/>
      <c r="O273" s="122" t="n"/>
      <c r="P273" s="122" t="n"/>
      <c r="Q273" s="122" t="n"/>
      <c r="R273" s="122" t="n"/>
      <c r="S273" s="122" t="n"/>
      <c r="T273" s="122" t="n"/>
      <c r="U273" s="122" t="n"/>
      <c r="V273" s="122" t="n"/>
      <c r="W273" s="122" t="n"/>
      <c r="X273" s="122" t="n"/>
    </row>
    <row r="274">
      <c r="A274" s="71" t="inlineStr">
        <is>
          <t>Frete unitário (R$/un)</t>
        </is>
      </c>
      <c r="B274" s="80">
        <f>('2. Inputs'!D25*'2. Inputs'!$C$96+'2. Inputs'!D26*'2. Inputs'!$C$97+'2. Inputs'!D27*'2. Inputs'!$C$98+'2. Inputs'!D28*'2. Inputs'!$C$99)/'2. Inputs'!$C$100</f>
        <v/>
      </c>
      <c r="C274" s="81" t="n"/>
      <c r="D274" s="81">
        <f>$G$17*'2. Inputs'!D24+(1-$G$17)*$B$274</f>
        <v/>
      </c>
      <c r="E274" s="81">
        <f>$G$17*'2. Inputs'!E24+(1-$G$17)*$B$274</f>
        <v/>
      </c>
      <c r="F274" s="81">
        <f>$G$17*'2. Inputs'!F24+(1-$G$17)*$B$274</f>
        <v/>
      </c>
      <c r="G274" s="81">
        <f>$G$17*'2. Inputs'!G24+(1-$G$17)*$B$274</f>
        <v/>
      </c>
      <c r="H274" s="81">
        <f>$G$17*'2. Inputs'!H24+(1-$G$17)*$B$274</f>
        <v/>
      </c>
      <c r="I274" s="81">
        <f>$G$17*'2. Inputs'!I24+(1-$G$17)*$B$274</f>
        <v/>
      </c>
      <c r="J274" s="81">
        <f>$G$17*'2. Inputs'!J24+(1-$G$17)*$B$274</f>
        <v/>
      </c>
      <c r="K274" s="81">
        <f>$G$17*'2. Inputs'!K24+(1-$G$17)*$B$274</f>
        <v/>
      </c>
      <c r="L274" s="81">
        <f>$G$17*'2. Inputs'!L24+(1-$G$17)*$B$274</f>
        <v/>
      </c>
      <c r="M274" s="81">
        <f>$G$17*'2. Inputs'!M24+(1-$G$17)*$B$274</f>
        <v/>
      </c>
      <c r="N274" s="122" t="n"/>
      <c r="O274" s="2" t="inlineStr">
        <is>
          <t>Coluna B: frete unitário médio fora do Sudeste, nas proporções da origem (Sul 5%, NE 3%, N 2%, CO 10%).</t>
        </is>
      </c>
      <c r="P274" s="122" t="n"/>
      <c r="Q274" s="122" t="n"/>
      <c r="R274" s="122" t="n"/>
      <c r="S274" s="122" t="n"/>
      <c r="T274" s="122" t="n"/>
      <c r="U274" s="122" t="n"/>
      <c r="V274" s="122" t="n"/>
      <c r="W274" s="122" t="n"/>
      <c r="X274" s="122" t="n"/>
    </row>
    <row r="275">
      <c r="A275" s="71" t="inlineStr">
        <is>
          <t>Custo variável unitário (R$/un)</t>
        </is>
      </c>
      <c r="B275" s="122" t="n"/>
      <c r="C275" s="82" t="n"/>
      <c r="D275" s="82">
        <f>'2. Inputs'!D43*(1+$E$17)</f>
        <v/>
      </c>
      <c r="E275" s="82">
        <f>'2. Inputs'!E43*(1+$E$17)</f>
        <v/>
      </c>
      <c r="F275" s="82">
        <f>'2. Inputs'!F43*(1+$E$17)</f>
        <v/>
      </c>
      <c r="G275" s="82">
        <f>'2. Inputs'!G43*(1+$E$17)</f>
        <v/>
      </c>
      <c r="H275" s="82">
        <f>'2. Inputs'!H43*(1+$E$17)</f>
        <v/>
      </c>
      <c r="I275" s="82">
        <f>'2. Inputs'!I43*(1+$E$17)</f>
        <v/>
      </c>
      <c r="J275" s="82">
        <f>'2. Inputs'!J43*(1+$E$17)</f>
        <v/>
      </c>
      <c r="K275" s="82">
        <f>'2. Inputs'!K43*(1+$E$17)</f>
        <v/>
      </c>
      <c r="L275" s="82">
        <f>'2. Inputs'!L43*(1+$E$17)</f>
        <v/>
      </c>
      <c r="M275" s="82">
        <f>'2. Inputs'!M43*(1+$E$17)</f>
        <v/>
      </c>
      <c r="N275" s="122" t="n"/>
      <c r="O275" s="122" t="n"/>
      <c r="P275" s="122" t="n"/>
      <c r="Q275" s="122" t="n"/>
      <c r="R275" s="122" t="n"/>
      <c r="S275" s="122" t="n"/>
      <c r="T275" s="122" t="n"/>
      <c r="U275" s="122" t="n"/>
      <c r="V275" s="122" t="n"/>
      <c r="W275" s="122" t="n"/>
      <c r="X275" s="122" t="n"/>
    </row>
    <row r="276">
      <c r="A276" s="71" t="inlineStr">
        <is>
          <t>Markup total (%)</t>
        </is>
      </c>
      <c r="B276" s="122" t="n"/>
      <c r="C276" s="72" t="n"/>
      <c r="D276" s="72">
        <f>'2. Inputs'!D32+'2. Inputs'!D33+'2. Inputs'!D34+'2. Inputs'!D35+'2. Inputs'!D36+$D$17</f>
        <v/>
      </c>
      <c r="E276" s="72">
        <f>'2. Inputs'!E32+'2. Inputs'!E33+'2. Inputs'!E34+'2. Inputs'!E35+'2. Inputs'!E36+$D$17</f>
        <v/>
      </c>
      <c r="F276" s="72">
        <f>'2. Inputs'!F32+'2. Inputs'!F33+'2. Inputs'!F34+'2. Inputs'!F35+'2. Inputs'!F36+$D$17</f>
        <v/>
      </c>
      <c r="G276" s="72">
        <f>'2. Inputs'!G32+'2. Inputs'!G33+'2. Inputs'!G34+'2. Inputs'!G35+'2. Inputs'!G36+$D$17</f>
        <v/>
      </c>
      <c r="H276" s="72">
        <f>'2. Inputs'!H32+'2. Inputs'!H33+'2. Inputs'!H34+'2. Inputs'!H35+'2. Inputs'!H36+$D$17</f>
        <v/>
      </c>
      <c r="I276" s="72">
        <f>'2. Inputs'!I32+'2. Inputs'!I33+'2. Inputs'!I34+'2. Inputs'!I35+'2. Inputs'!I36+$D$17</f>
        <v/>
      </c>
      <c r="J276" s="72">
        <f>'2. Inputs'!J32+'2. Inputs'!J33+'2. Inputs'!J34+'2. Inputs'!J35+'2. Inputs'!J36+$D$17</f>
        <v/>
      </c>
      <c r="K276" s="72">
        <f>'2. Inputs'!K32+'2. Inputs'!K33+'2. Inputs'!K34+'2. Inputs'!K35+'2. Inputs'!K36+$D$17</f>
        <v/>
      </c>
      <c r="L276" s="72">
        <f>'2. Inputs'!L32+'2. Inputs'!L33+'2. Inputs'!L34+'2. Inputs'!L35+'2. Inputs'!L36+$D$17</f>
        <v/>
      </c>
      <c r="M276" s="72">
        <f>'2. Inputs'!M32+'2. Inputs'!M33+'2. Inputs'!M34+'2. Inputs'!M35+'2. Inputs'!M36+$D$17</f>
        <v/>
      </c>
      <c r="N276" s="122" t="n"/>
      <c r="O276" s="122" t="n"/>
      <c r="P276" s="122" t="n"/>
      <c r="Q276" s="122" t="n"/>
      <c r="R276" s="122" t="n"/>
      <c r="S276" s="122" t="n"/>
      <c r="T276" s="122" t="n"/>
      <c r="U276" s="122" t="n"/>
      <c r="V276" s="122" t="n"/>
      <c r="W276" s="122" t="n"/>
      <c r="X276" s="122" t="n"/>
    </row>
    <row r="277">
      <c r="A277" s="71" t="inlineStr">
        <is>
          <t>Custo variável (R$)</t>
        </is>
      </c>
      <c r="B277" s="122" t="n"/>
      <c r="C277" s="76" t="n"/>
      <c r="D277" s="76">
        <f>D273*D275</f>
        <v/>
      </c>
      <c r="E277" s="76">
        <f>E273*E275</f>
        <v/>
      </c>
      <c r="F277" s="76">
        <f>F273*F275</f>
        <v/>
      </c>
      <c r="G277" s="76">
        <f>G273*G275</f>
        <v/>
      </c>
      <c r="H277" s="76">
        <f>H273*H275</f>
        <v/>
      </c>
      <c r="I277" s="76">
        <f>I273*I275</f>
        <v/>
      </c>
      <c r="J277" s="76">
        <f>J273*J275</f>
        <v/>
      </c>
      <c r="K277" s="76">
        <f>K273*K275</f>
        <v/>
      </c>
      <c r="L277" s="76">
        <f>L273*L275</f>
        <v/>
      </c>
      <c r="M277" s="76">
        <f>M273*M275</f>
        <v/>
      </c>
      <c r="N277" s="122" t="n"/>
      <c r="O277" s="122" t="n"/>
      <c r="P277" s="122" t="n"/>
      <c r="Q277" s="122" t="n"/>
      <c r="R277" s="122" t="n"/>
      <c r="S277" s="122" t="n"/>
      <c r="T277" s="122" t="n"/>
      <c r="U277" s="122" t="n"/>
      <c r="V277" s="122" t="n"/>
      <c r="W277" s="122" t="n"/>
      <c r="X277" s="122" t="n"/>
    </row>
    <row r="278">
      <c r="A278" s="71" t="inlineStr">
        <is>
          <t>Frete (R$)</t>
        </is>
      </c>
      <c r="B278" s="122" t="n"/>
      <c r="C278" s="76" t="n"/>
      <c r="D278" s="76">
        <f>D273*D274</f>
        <v/>
      </c>
      <c r="E278" s="76">
        <f>E273*E274</f>
        <v/>
      </c>
      <c r="F278" s="76">
        <f>F273*F274</f>
        <v/>
      </c>
      <c r="G278" s="76">
        <f>G273*G274</f>
        <v/>
      </c>
      <c r="H278" s="76">
        <f>H273*H274</f>
        <v/>
      </c>
      <c r="I278" s="76">
        <f>I273*I274</f>
        <v/>
      </c>
      <c r="J278" s="76">
        <f>J273*J274</f>
        <v/>
      </c>
      <c r="K278" s="76">
        <f>K273*K274</f>
        <v/>
      </c>
      <c r="L278" s="76">
        <f>L273*L274</f>
        <v/>
      </c>
      <c r="M278" s="76">
        <f>M273*M274</f>
        <v/>
      </c>
      <c r="N278" s="122" t="n"/>
      <c r="O278" s="122" t="n"/>
      <c r="P278" s="122" t="n"/>
      <c r="Q278" s="122" t="n"/>
      <c r="R278" s="122" t="n"/>
      <c r="S278" s="122" t="n"/>
      <c r="T278" s="122" t="n"/>
      <c r="U278" s="122" t="n"/>
      <c r="V278" s="122" t="n"/>
      <c r="W278" s="122" t="n"/>
      <c r="X278" s="122" t="n"/>
    </row>
    <row r="279">
      <c r="A279" s="71" t="inlineStr">
        <is>
          <t>Custo fixo de estrutura (R$)</t>
        </is>
      </c>
      <c r="B279" s="122" t="n"/>
      <c r="C279" s="76" t="n"/>
      <c r="D279" s="76">
        <f>'2. Inputs'!D46</f>
        <v/>
      </c>
      <c r="E279" s="76">
        <f>'2. Inputs'!E46</f>
        <v/>
      </c>
      <c r="F279" s="76">
        <f>'2. Inputs'!F46</f>
        <v/>
      </c>
      <c r="G279" s="76">
        <f>'2. Inputs'!G46</f>
        <v/>
      </c>
      <c r="H279" s="76">
        <f>'2. Inputs'!H46</f>
        <v/>
      </c>
      <c r="I279" s="76">
        <f>'2. Inputs'!I46</f>
        <v/>
      </c>
      <c r="J279" s="76">
        <f>'2. Inputs'!J46</f>
        <v/>
      </c>
      <c r="K279" s="76">
        <f>'2. Inputs'!K46</f>
        <v/>
      </c>
      <c r="L279" s="76">
        <f>'2. Inputs'!L46</f>
        <v/>
      </c>
      <c r="M279" s="76">
        <f>'2. Inputs'!M46</f>
        <v/>
      </c>
      <c r="N279" s="122" t="n"/>
      <c r="O279" s="122" t="n"/>
      <c r="P279" s="122" t="n"/>
      <c r="Q279" s="122" t="n"/>
      <c r="R279" s="122" t="n"/>
      <c r="S279" s="122" t="n"/>
      <c r="T279" s="122" t="n"/>
      <c r="U279" s="122" t="n"/>
      <c r="V279" s="122" t="n"/>
      <c r="W279" s="122" t="n"/>
      <c r="X279" s="122" t="n"/>
    </row>
    <row r="280">
      <c r="A280" s="71" t="inlineStr">
        <is>
          <t>Manutenção e seguro (R$)</t>
        </is>
      </c>
      <c r="B280" s="122" t="n"/>
      <c r="C280" s="76" t="n"/>
      <c r="D280" s="76">
        <f>('2. Inputs'!D47+'2. Inputs'!D48)*'2. Inputs'!D54</f>
        <v/>
      </c>
      <c r="E280" s="76">
        <f>('2. Inputs'!E47+'2. Inputs'!E48)*'2. Inputs'!E54</f>
        <v/>
      </c>
      <c r="F280" s="76">
        <f>('2. Inputs'!F47+'2. Inputs'!F48)*'2. Inputs'!F54</f>
        <v/>
      </c>
      <c r="G280" s="76">
        <f>('2. Inputs'!G47+'2. Inputs'!G48)*'2. Inputs'!G54</f>
        <v/>
      </c>
      <c r="H280" s="76">
        <f>('2. Inputs'!H47+'2. Inputs'!H48)*'2. Inputs'!H54</f>
        <v/>
      </c>
      <c r="I280" s="76">
        <f>('2. Inputs'!I47+'2. Inputs'!I48)*'2. Inputs'!I54</f>
        <v/>
      </c>
      <c r="J280" s="76">
        <f>('2. Inputs'!J47+'2. Inputs'!J48)*'2. Inputs'!J54</f>
        <v/>
      </c>
      <c r="K280" s="76">
        <f>('2. Inputs'!K47+'2. Inputs'!K48)*'2. Inputs'!K54</f>
        <v/>
      </c>
      <c r="L280" s="76">
        <f>('2. Inputs'!L47+'2. Inputs'!L48)*'2. Inputs'!L54</f>
        <v/>
      </c>
      <c r="M280" s="76">
        <f>('2. Inputs'!M47+'2. Inputs'!M48)*'2. Inputs'!M54</f>
        <v/>
      </c>
      <c r="N280" s="122" t="n"/>
      <c r="O280" s="122" t="n"/>
      <c r="P280" s="122" t="n"/>
      <c r="Q280" s="122" t="n"/>
      <c r="R280" s="122" t="n"/>
      <c r="S280" s="122" t="n"/>
      <c r="T280" s="122" t="n"/>
      <c r="U280" s="122" t="n"/>
      <c r="V280" s="122" t="n"/>
      <c r="W280" s="122" t="n"/>
      <c r="X280" s="122" t="n"/>
    </row>
    <row r="281">
      <c r="A281" s="71" t="inlineStr">
        <is>
          <t>Contingência (R$)</t>
        </is>
      </c>
      <c r="B281" s="122" t="n"/>
      <c r="C281" s="76" t="n"/>
      <c r="D281" s="76">
        <f>$F$17*'2. Inputs'!D54</f>
        <v/>
      </c>
      <c r="E281" s="76">
        <f>$F$17*'2. Inputs'!E54</f>
        <v/>
      </c>
      <c r="F281" s="76">
        <f>$F$17*'2. Inputs'!F54</f>
        <v/>
      </c>
      <c r="G281" s="76">
        <f>$F$17*'2. Inputs'!G54</f>
        <v/>
      </c>
      <c r="H281" s="76">
        <f>$F$17*'2. Inputs'!H54</f>
        <v/>
      </c>
      <c r="I281" s="76">
        <f>$F$17*'2. Inputs'!I54</f>
        <v/>
      </c>
      <c r="J281" s="76">
        <f>$F$17*'2. Inputs'!J54</f>
        <v/>
      </c>
      <c r="K281" s="76">
        <f>$F$17*'2. Inputs'!K54</f>
        <v/>
      </c>
      <c r="L281" s="76">
        <f>$F$17*'2. Inputs'!L54</f>
        <v/>
      </c>
      <c r="M281" s="76">
        <f>$F$17*'2. Inputs'!M54</f>
        <v/>
      </c>
      <c r="N281" s="122" t="n"/>
      <c r="O281" s="122" t="n"/>
      <c r="P281" s="122" t="n"/>
      <c r="Q281" s="122" t="n"/>
      <c r="R281" s="122" t="n"/>
      <c r="S281" s="122" t="n"/>
      <c r="T281" s="122" t="n"/>
      <c r="U281" s="122" t="n"/>
      <c r="V281" s="122" t="n"/>
      <c r="W281" s="122" t="n"/>
      <c r="X281" s="122" t="n"/>
    </row>
    <row r="282">
      <c r="A282" s="71" t="inlineStr">
        <is>
          <t>Depreciação (R$)</t>
        </is>
      </c>
      <c r="B282" s="122" t="n"/>
      <c r="C282" s="76" t="n"/>
      <c r="D282" s="76">
        <f>'3. Depreciacao'!D31</f>
        <v/>
      </c>
      <c r="E282" s="76">
        <f>'3. Depreciacao'!E31</f>
        <v/>
      </c>
      <c r="F282" s="76">
        <f>'3. Depreciacao'!F31</f>
        <v/>
      </c>
      <c r="G282" s="76">
        <f>'3. Depreciacao'!G31</f>
        <v/>
      </c>
      <c r="H282" s="76">
        <f>'3. Depreciacao'!H31</f>
        <v/>
      </c>
      <c r="I282" s="76">
        <f>'3. Depreciacao'!I31</f>
        <v/>
      </c>
      <c r="J282" s="76">
        <f>'3. Depreciacao'!J31</f>
        <v/>
      </c>
      <c r="K282" s="76">
        <f>'3. Depreciacao'!K31</f>
        <v/>
      </c>
      <c r="L282" s="76">
        <f>'3. Depreciacao'!L31</f>
        <v/>
      </c>
      <c r="M282" s="76">
        <f>'3. Depreciacao'!M31</f>
        <v/>
      </c>
      <c r="N282" s="122" t="n"/>
      <c r="O282" s="122" t="n"/>
      <c r="P282" s="122" t="n"/>
      <c r="Q282" s="122" t="n"/>
      <c r="R282" s="122" t="n"/>
      <c r="S282" s="122" t="n"/>
      <c r="T282" s="122" t="n"/>
      <c r="U282" s="122" t="n"/>
      <c r="V282" s="122" t="n"/>
      <c r="W282" s="122" t="n"/>
      <c r="X282" s="122" t="n"/>
    </row>
    <row r="283">
      <c r="A283" s="71" t="inlineStr">
        <is>
          <t>Custo total (R$)</t>
        </is>
      </c>
      <c r="B283" s="122" t="n"/>
      <c r="C283" s="76" t="n"/>
      <c r="D283" s="76">
        <f>SUM(D277:D282)</f>
        <v/>
      </c>
      <c r="E283" s="76">
        <f>SUM(E277:E282)</f>
        <v/>
      </c>
      <c r="F283" s="76">
        <f>SUM(F277:F282)</f>
        <v/>
      </c>
      <c r="G283" s="76">
        <f>SUM(G277:G282)</f>
        <v/>
      </c>
      <c r="H283" s="76">
        <f>SUM(H277:H282)</f>
        <v/>
      </c>
      <c r="I283" s="76">
        <f>SUM(I277:I282)</f>
        <v/>
      </c>
      <c r="J283" s="76">
        <f>SUM(J277:J282)</f>
        <v/>
      </c>
      <c r="K283" s="76">
        <f>SUM(K277:K282)</f>
        <v/>
      </c>
      <c r="L283" s="76">
        <f>SUM(L277:L282)</f>
        <v/>
      </c>
      <c r="M283" s="76">
        <f>SUM(M277:M282)</f>
        <v/>
      </c>
      <c r="N283" s="122" t="n"/>
      <c r="O283" s="122" t="n"/>
      <c r="P283" s="122" t="n"/>
      <c r="Q283" s="122" t="n"/>
      <c r="R283" s="122" t="n"/>
      <c r="S283" s="122" t="n"/>
      <c r="T283" s="122" t="n"/>
      <c r="U283" s="122" t="n"/>
      <c r="V283" s="122" t="n"/>
      <c r="W283" s="122" t="n"/>
      <c r="X283" s="122" t="n"/>
    </row>
    <row r="284">
      <c r="A284" s="71" t="inlineStr">
        <is>
          <t>Preço bruto unitário (R$/un)</t>
        </is>
      </c>
      <c r="B284" s="122" t="n"/>
      <c r="C284" s="82" t="n"/>
      <c r="D284" s="82">
        <f>IF('2. Inputs'!$C$38=1,D283/D273/(1-D276),'2. Inputs'!D39)</f>
        <v/>
      </c>
      <c r="E284" s="82">
        <f>IF('2. Inputs'!$C$38=1,E283/E273/(1-E276),'2. Inputs'!E39)</f>
        <v/>
      </c>
      <c r="F284" s="82">
        <f>IF('2. Inputs'!$C$38=1,F283/F273/(1-F276),'2. Inputs'!F39)</f>
        <v/>
      </c>
      <c r="G284" s="82">
        <f>IF('2. Inputs'!$C$38=1,G283/G273/(1-G276),'2. Inputs'!G39)</f>
        <v/>
      </c>
      <c r="H284" s="82">
        <f>IF('2. Inputs'!$C$38=1,H283/H273/(1-H276),'2. Inputs'!H39)</f>
        <v/>
      </c>
      <c r="I284" s="82">
        <f>IF('2. Inputs'!$C$38=1,I283/I273/(1-I276),'2. Inputs'!I39)</f>
        <v/>
      </c>
      <c r="J284" s="82">
        <f>IF('2. Inputs'!$C$38=1,J283/J273/(1-J276),'2. Inputs'!J39)</f>
        <v/>
      </c>
      <c r="K284" s="82">
        <f>IF('2. Inputs'!$C$38=1,K283/K273/(1-K276),'2. Inputs'!K39)</f>
        <v/>
      </c>
      <c r="L284" s="82">
        <f>IF('2. Inputs'!$C$38=1,L283/L273/(1-L276),'2. Inputs'!L39)</f>
        <v/>
      </c>
      <c r="M284" s="82">
        <f>IF('2. Inputs'!$C$38=1,M283/M273/(1-M276),'2. Inputs'!M39)</f>
        <v/>
      </c>
      <c r="N284" s="122" t="n"/>
      <c r="O284" s="122" t="n"/>
      <c r="P284" s="122" t="n"/>
      <c r="Q284" s="122" t="n"/>
      <c r="R284" s="122" t="n"/>
      <c r="S284" s="122" t="n"/>
      <c r="T284" s="122" t="n"/>
      <c r="U284" s="122" t="n"/>
      <c r="V284" s="122" t="n"/>
      <c r="W284" s="122" t="n"/>
      <c r="X284" s="122" t="n"/>
    </row>
    <row r="285">
      <c r="A285" s="71" t="inlineStr">
        <is>
          <t>Receita bruta (R$)</t>
        </is>
      </c>
      <c r="B285" s="122" t="n"/>
      <c r="C285" s="76" t="n"/>
      <c r="D285" s="76">
        <f>D273*D284</f>
        <v/>
      </c>
      <c r="E285" s="76">
        <f>E273*E284</f>
        <v/>
      </c>
      <c r="F285" s="76">
        <f>F273*F284</f>
        <v/>
      </c>
      <c r="G285" s="76">
        <f>G273*G284</f>
        <v/>
      </c>
      <c r="H285" s="76">
        <f>H273*H284</f>
        <v/>
      </c>
      <c r="I285" s="76">
        <f>I273*I284</f>
        <v/>
      </c>
      <c r="J285" s="76">
        <f>J273*J284</f>
        <v/>
      </c>
      <c r="K285" s="76">
        <f>K273*K284</f>
        <v/>
      </c>
      <c r="L285" s="76">
        <f>L273*L284</f>
        <v/>
      </c>
      <c r="M285" s="76">
        <f>M273*M284</f>
        <v/>
      </c>
      <c r="N285" s="122" t="n"/>
      <c r="O285" s="122" t="n"/>
      <c r="P285" s="122" t="n"/>
      <c r="Q285" s="122" t="n"/>
      <c r="R285" s="122" t="n"/>
      <c r="S285" s="122" t="n"/>
      <c r="T285" s="122" t="n"/>
      <c r="U285" s="122" t="n"/>
      <c r="V285" s="122" t="n"/>
      <c r="W285" s="122" t="n"/>
      <c r="X285" s="122" t="n"/>
    </row>
    <row r="286">
      <c r="A286" s="71" t="inlineStr">
        <is>
          <t>Comissão (R$)</t>
        </is>
      </c>
      <c r="B286" s="122" t="n"/>
      <c r="C286" s="76" t="n"/>
      <c r="D286" s="76">
        <f>'2. Inputs'!D35*D285</f>
        <v/>
      </c>
      <c r="E286" s="76">
        <f>'2. Inputs'!E35*E285</f>
        <v/>
      </c>
      <c r="F286" s="76">
        <f>'2. Inputs'!F35*F285</f>
        <v/>
      </c>
      <c r="G286" s="76">
        <f>'2. Inputs'!G35*G285</f>
        <v/>
      </c>
      <c r="H286" s="76">
        <f>'2. Inputs'!H35*H285</f>
        <v/>
      </c>
      <c r="I286" s="76">
        <f>'2. Inputs'!I35*I285</f>
        <v/>
      </c>
      <c r="J286" s="76">
        <f>'2. Inputs'!J35*J285</f>
        <v/>
      </c>
      <c r="K286" s="76">
        <f>'2. Inputs'!K35*K285</f>
        <v/>
      </c>
      <c r="L286" s="76">
        <f>'2. Inputs'!L35*L285</f>
        <v/>
      </c>
      <c r="M286" s="76">
        <f>'2. Inputs'!M35*M285</f>
        <v/>
      </c>
      <c r="N286" s="122" t="n"/>
      <c r="O286" s="122" t="n"/>
      <c r="P286" s="122" t="n"/>
      <c r="Q286" s="122" t="n"/>
      <c r="R286" s="122" t="n"/>
      <c r="S286" s="122" t="n"/>
      <c r="T286" s="122" t="n"/>
      <c r="U286" s="122" t="n"/>
      <c r="V286" s="122" t="n"/>
      <c r="W286" s="122" t="n"/>
      <c r="X286" s="122" t="n"/>
    </row>
    <row r="287">
      <c r="A287" s="71" t="inlineStr">
        <is>
          <t>Receita líquida (R$)</t>
        </is>
      </c>
      <c r="B287" s="122" t="n"/>
      <c r="C287" s="76" t="n"/>
      <c r="D287" s="76">
        <f>D285*(1-'2. Inputs'!D32-'2. Inputs'!D33-'2. Inputs'!D34)</f>
        <v/>
      </c>
      <c r="E287" s="76">
        <f>E285*(1-'2. Inputs'!E32-'2. Inputs'!E33-'2. Inputs'!E34)</f>
        <v/>
      </c>
      <c r="F287" s="76">
        <f>F285*(1-'2. Inputs'!F32-'2. Inputs'!F33-'2. Inputs'!F34)</f>
        <v/>
      </c>
      <c r="G287" s="76">
        <f>G285*(1-'2. Inputs'!G32-'2. Inputs'!G33-'2. Inputs'!G34)</f>
        <v/>
      </c>
      <c r="H287" s="76">
        <f>H285*(1-'2. Inputs'!H32-'2. Inputs'!H33-'2. Inputs'!H34)</f>
        <v/>
      </c>
      <c r="I287" s="76">
        <f>I285*(1-'2. Inputs'!I32-'2. Inputs'!I33-'2. Inputs'!I34)</f>
        <v/>
      </c>
      <c r="J287" s="76">
        <f>J285*(1-'2. Inputs'!J32-'2. Inputs'!J33-'2. Inputs'!J34)</f>
        <v/>
      </c>
      <c r="K287" s="76">
        <f>K285*(1-'2. Inputs'!K32-'2. Inputs'!K33-'2. Inputs'!K34)</f>
        <v/>
      </c>
      <c r="L287" s="76">
        <f>L285*(1-'2. Inputs'!L32-'2. Inputs'!L33-'2. Inputs'!L34)</f>
        <v/>
      </c>
      <c r="M287" s="76">
        <f>M285*(1-'2. Inputs'!M32-'2. Inputs'!M33-'2. Inputs'!M34)</f>
        <v/>
      </c>
      <c r="N287" s="122" t="n"/>
      <c r="O287" s="122" t="n"/>
      <c r="P287" s="122" t="n"/>
      <c r="Q287" s="122" t="n"/>
      <c r="R287" s="122" t="n"/>
      <c r="S287" s="122" t="n"/>
      <c r="T287" s="122" t="n"/>
      <c r="U287" s="122" t="n"/>
      <c r="V287" s="122" t="n"/>
      <c r="W287" s="122" t="n"/>
      <c r="X287" s="122" t="n"/>
    </row>
    <row r="288">
      <c r="A288" s="71" t="inlineStr">
        <is>
          <t>EBITDA (R$)</t>
        </is>
      </c>
      <c r="B288" s="122" t="n"/>
      <c r="C288" s="76" t="n"/>
      <c r="D288" s="76">
        <f>D287-D277-D278-D286-D279-D280-D281</f>
        <v/>
      </c>
      <c r="E288" s="76">
        <f>E287-E277-E278-E286-E279-E280-E281</f>
        <v/>
      </c>
      <c r="F288" s="76">
        <f>F287-F277-F278-F286-F279-F280-F281</f>
        <v/>
      </c>
      <c r="G288" s="76">
        <f>G287-G277-G278-G286-G279-G280-G281</f>
        <v/>
      </c>
      <c r="H288" s="76">
        <f>H287-H277-H278-H286-H279-H280-H281</f>
        <v/>
      </c>
      <c r="I288" s="76">
        <f>I287-I277-I278-I286-I279-I280-I281</f>
        <v/>
      </c>
      <c r="J288" s="76">
        <f>J287-J277-J278-J286-J279-J280-J281</f>
        <v/>
      </c>
      <c r="K288" s="76">
        <f>K287-K277-K278-K286-K279-K280-K281</f>
        <v/>
      </c>
      <c r="L288" s="76">
        <f>L287-L277-L278-L286-L279-L280-L281</f>
        <v/>
      </c>
      <c r="M288" s="76">
        <f>M287-M277-M278-M286-M279-M280-M281</f>
        <v/>
      </c>
      <c r="N288" s="122" t="n"/>
      <c r="O288" s="122" t="n"/>
      <c r="P288" s="122" t="n"/>
      <c r="Q288" s="122" t="n"/>
      <c r="R288" s="122" t="n"/>
      <c r="S288" s="122" t="n"/>
      <c r="T288" s="122" t="n"/>
      <c r="U288" s="122" t="n"/>
      <c r="V288" s="122" t="n"/>
      <c r="W288" s="122" t="n"/>
      <c r="X288" s="122" t="n"/>
    </row>
    <row r="289">
      <c r="A289" s="71" t="inlineStr">
        <is>
          <t>EBIT (R$)</t>
        </is>
      </c>
      <c r="B289" s="122" t="n"/>
      <c r="C289" s="76" t="n"/>
      <c r="D289" s="76">
        <f>D288-D282</f>
        <v/>
      </c>
      <c r="E289" s="76">
        <f>E288-E282</f>
        <v/>
      </c>
      <c r="F289" s="76">
        <f>F288-F282</f>
        <v/>
      </c>
      <c r="G289" s="76">
        <f>G288-G282</f>
        <v/>
      </c>
      <c r="H289" s="76">
        <f>H288-H282</f>
        <v/>
      </c>
      <c r="I289" s="76">
        <f>I288-I282</f>
        <v/>
      </c>
      <c r="J289" s="76">
        <f>J288-J282</f>
        <v/>
      </c>
      <c r="K289" s="76">
        <f>K288-K282</f>
        <v/>
      </c>
      <c r="L289" s="76">
        <f>L288-L282</f>
        <v/>
      </c>
      <c r="M289" s="76">
        <f>M288-M282</f>
        <v/>
      </c>
      <c r="N289" s="122" t="n"/>
      <c r="O289" s="122" t="n"/>
      <c r="P289" s="122" t="n"/>
      <c r="Q289" s="122" t="n"/>
      <c r="R289" s="122" t="n"/>
      <c r="S289" s="122" t="n"/>
      <c r="T289" s="122" t="n"/>
      <c r="U289" s="122" t="n"/>
      <c r="V289" s="122" t="n"/>
      <c r="W289" s="122" t="n"/>
      <c r="X289" s="122" t="n"/>
    </row>
    <row r="290">
      <c r="A290" s="71" t="inlineStr">
        <is>
          <t>IRPJ + adicional + CSLL (R$)</t>
        </is>
      </c>
      <c r="B290" s="122" t="n"/>
      <c r="C290" s="76" t="n"/>
      <c r="D290" s="76">
        <f>IF(D289&gt;0,'2. Inputs'!D58*D289+'2. Inputs'!D59*MAX(0,D289-'2. Inputs'!D60)+'2. Inputs'!D61*D289,0)</f>
        <v/>
      </c>
      <c r="E290" s="76">
        <f>IF(E289&gt;0,'2. Inputs'!E58*E289+'2. Inputs'!E59*MAX(0,E289-'2. Inputs'!E60)+'2. Inputs'!E61*E289,0)</f>
        <v/>
      </c>
      <c r="F290" s="76">
        <f>IF(F289&gt;0,'2. Inputs'!F58*F289+'2. Inputs'!F59*MAX(0,F289-'2. Inputs'!F60)+'2. Inputs'!F61*F289,0)</f>
        <v/>
      </c>
      <c r="G290" s="76">
        <f>IF(G289&gt;0,'2. Inputs'!G58*G289+'2. Inputs'!G59*MAX(0,G289-'2. Inputs'!G60)+'2. Inputs'!G61*G289,0)</f>
        <v/>
      </c>
      <c r="H290" s="76">
        <f>IF(H289&gt;0,'2. Inputs'!H58*H289+'2. Inputs'!H59*MAX(0,H289-'2. Inputs'!H60)+'2. Inputs'!H61*H289,0)</f>
        <v/>
      </c>
      <c r="I290" s="76">
        <f>IF(I289&gt;0,'2. Inputs'!I58*I289+'2. Inputs'!I59*MAX(0,I289-'2. Inputs'!I60)+'2. Inputs'!I61*I289,0)</f>
        <v/>
      </c>
      <c r="J290" s="76">
        <f>IF(J289&gt;0,'2. Inputs'!J58*J289+'2. Inputs'!J59*MAX(0,J289-'2. Inputs'!J60)+'2. Inputs'!J61*J289,0)</f>
        <v/>
      </c>
      <c r="K290" s="76">
        <f>IF(K289&gt;0,'2. Inputs'!K58*K289+'2. Inputs'!K59*MAX(0,K289-'2. Inputs'!K60)+'2. Inputs'!K61*K289,0)</f>
        <v/>
      </c>
      <c r="L290" s="76">
        <f>IF(L289&gt;0,'2. Inputs'!L58*L289+'2. Inputs'!L59*MAX(0,L289-'2. Inputs'!L60)+'2. Inputs'!L61*L289,0)</f>
        <v/>
      </c>
      <c r="M290" s="76">
        <f>IF(M289&gt;0,'2. Inputs'!M58*M289+'2. Inputs'!M59*MAX(0,M289-'2. Inputs'!M60)+'2. Inputs'!M61*M289,0)</f>
        <v/>
      </c>
      <c r="N290" s="122" t="n"/>
      <c r="O290" s="122" t="n"/>
      <c r="P290" s="122" t="n"/>
      <c r="Q290" s="122" t="n"/>
      <c r="R290" s="122" t="n"/>
      <c r="S290" s="122" t="n"/>
      <c r="T290" s="122" t="n"/>
      <c r="U290" s="122" t="n"/>
      <c r="V290" s="122" t="n"/>
      <c r="W290" s="122" t="n"/>
      <c r="X290" s="122" t="n"/>
    </row>
    <row r="291">
      <c r="A291" s="71" t="inlineStr">
        <is>
          <t>NOPAT (R$)</t>
        </is>
      </c>
      <c r="B291" s="122" t="n"/>
      <c r="C291" s="76" t="n"/>
      <c r="D291" s="76">
        <f>D289-D290</f>
        <v/>
      </c>
      <c r="E291" s="76">
        <f>E289-E290</f>
        <v/>
      </c>
      <c r="F291" s="76">
        <f>F289-F290</f>
        <v/>
      </c>
      <c r="G291" s="76">
        <f>G289-G290</f>
        <v/>
      </c>
      <c r="H291" s="76">
        <f>H289-H290</f>
        <v/>
      </c>
      <c r="I291" s="76">
        <f>I289-I290</f>
        <v/>
      </c>
      <c r="J291" s="76">
        <f>J289-J290</f>
        <v/>
      </c>
      <c r="K291" s="76">
        <f>K289-K290</f>
        <v/>
      </c>
      <c r="L291" s="76">
        <f>L289-L290</f>
        <v/>
      </c>
      <c r="M291" s="76">
        <f>M289-M290</f>
        <v/>
      </c>
      <c r="N291" s="122" t="n"/>
      <c r="O291" s="122" t="n"/>
      <c r="P291" s="122" t="n"/>
      <c r="Q291" s="122" t="n"/>
      <c r="R291" s="122" t="n"/>
      <c r="S291" s="122" t="n"/>
      <c r="T291" s="122" t="n"/>
      <c r="U291" s="122" t="n"/>
      <c r="V291" s="122" t="n"/>
      <c r="W291" s="122" t="n"/>
      <c r="X291" s="122" t="n"/>
    </row>
    <row r="292">
      <c r="A292" s="71" t="inlineStr">
        <is>
          <t>Capital de giro (R$)</t>
        </is>
      </c>
      <c r="B292" s="122" t="n"/>
      <c r="C292" s="76">
        <f>D292</f>
        <v/>
      </c>
      <c r="D292" s="76">
        <f>'2. Inputs'!D64/'2. Inputs'!D68*D285+'2. Inputs'!D65/'2. Inputs'!D68*(D277+D278)+'2. Inputs'!D67/'2. Inputs'!D68*(D277+D278+D286+D279+D280+D281)-'2. Inputs'!D66/'2. Inputs'!D68*(D277+D278)</f>
        <v/>
      </c>
      <c r="E292" s="76">
        <f>'2. Inputs'!E64/'2. Inputs'!E68*E285+'2. Inputs'!E65/'2. Inputs'!E68*(E277+E278)+'2. Inputs'!E67/'2. Inputs'!E68*(E277+E278+E286+E279+E280+E281)-'2. Inputs'!E66/'2. Inputs'!E68*(E277+E278)</f>
        <v/>
      </c>
      <c r="F292" s="76">
        <f>'2. Inputs'!F64/'2. Inputs'!F68*F285+'2. Inputs'!F65/'2. Inputs'!F68*(F277+F278)+'2. Inputs'!F67/'2. Inputs'!F68*(F277+F278+F286+F279+F280+F281)-'2. Inputs'!F66/'2. Inputs'!F68*(F277+F278)</f>
        <v/>
      </c>
      <c r="G292" s="76">
        <f>'2. Inputs'!G64/'2. Inputs'!G68*G285+'2. Inputs'!G65/'2. Inputs'!G68*(G277+G278)+'2. Inputs'!G67/'2. Inputs'!G68*(G277+G278+G286+G279+G280+G281)-'2. Inputs'!G66/'2. Inputs'!G68*(G277+G278)</f>
        <v/>
      </c>
      <c r="H292" s="76">
        <f>'2. Inputs'!H64/'2. Inputs'!H68*H285+'2. Inputs'!H65/'2. Inputs'!H68*(H277+H278)+'2. Inputs'!H67/'2. Inputs'!H68*(H277+H278+H286+H279+H280+H281)-'2. Inputs'!H66/'2. Inputs'!H68*(H277+H278)</f>
        <v/>
      </c>
      <c r="I292" s="76">
        <f>'2. Inputs'!I64/'2. Inputs'!I68*I285+'2. Inputs'!I65/'2. Inputs'!I68*(I277+I278)+'2. Inputs'!I67/'2. Inputs'!I68*(I277+I278+I286+I279+I280+I281)-'2. Inputs'!I66/'2. Inputs'!I68*(I277+I278)</f>
        <v/>
      </c>
      <c r="J292" s="76">
        <f>'2. Inputs'!J64/'2. Inputs'!J68*J285+'2. Inputs'!J65/'2. Inputs'!J68*(J277+J278)+'2. Inputs'!J67/'2. Inputs'!J68*(J277+J278+J286+J279+J280+J281)-'2. Inputs'!J66/'2. Inputs'!J68*(J277+J278)</f>
        <v/>
      </c>
      <c r="K292" s="76">
        <f>'2. Inputs'!K64/'2. Inputs'!K68*K285+'2. Inputs'!K65/'2. Inputs'!K68*(K277+K278)+'2. Inputs'!K67/'2. Inputs'!K68*(K277+K278+K286+K279+K280+K281)-'2. Inputs'!K66/'2. Inputs'!K68*(K277+K278)</f>
        <v/>
      </c>
      <c r="L292" s="76">
        <f>'2. Inputs'!L64/'2. Inputs'!L68*L285+'2. Inputs'!L65/'2. Inputs'!L68*(L277+L278)+'2. Inputs'!L67/'2. Inputs'!L68*(L277+L278+L286+L279+L280+L281)-'2. Inputs'!L66/'2. Inputs'!L68*(L277+L278)</f>
        <v/>
      </c>
      <c r="M292" s="76">
        <f>'2. Inputs'!M64/'2. Inputs'!M68*M285+'2. Inputs'!M65/'2. Inputs'!M68*(M277+M278)+'2. Inputs'!M67/'2. Inputs'!M68*(M277+M278+M286+M279+M280+M281)-'2. Inputs'!M66/'2. Inputs'!M68*(M277+M278)</f>
        <v/>
      </c>
      <c r="N292" s="122" t="n"/>
      <c r="O292" s="122" t="n"/>
      <c r="P292" s="122" t="n"/>
      <c r="Q292" s="122" t="n"/>
      <c r="R292" s="122" t="n"/>
      <c r="S292" s="122" t="n"/>
      <c r="T292" s="122" t="n"/>
      <c r="U292" s="122" t="n"/>
      <c r="V292" s="122" t="n"/>
      <c r="W292" s="122" t="n"/>
      <c r="X292" s="122" t="n"/>
    </row>
    <row r="293">
      <c r="A293" s="71" t="inlineStr">
        <is>
          <t>Δ capital de giro (R$)</t>
        </is>
      </c>
      <c r="B293" s="122" t="n"/>
      <c r="C293" s="76">
        <f>C292</f>
        <v/>
      </c>
      <c r="D293" s="76">
        <f>D292-C292</f>
        <v/>
      </c>
      <c r="E293" s="76">
        <f>E292-D292</f>
        <v/>
      </c>
      <c r="F293" s="76">
        <f>F292-E292</f>
        <v/>
      </c>
      <c r="G293" s="76">
        <f>G292-F292</f>
        <v/>
      </c>
      <c r="H293" s="76">
        <f>H292-G292</f>
        <v/>
      </c>
      <c r="I293" s="76">
        <f>I292-H292</f>
        <v/>
      </c>
      <c r="J293" s="76">
        <f>J292-I292</f>
        <v/>
      </c>
      <c r="K293" s="76">
        <f>K292-J292</f>
        <v/>
      </c>
      <c r="L293" s="76">
        <f>L292-K292</f>
        <v/>
      </c>
      <c r="M293" s="76">
        <f>M292-L292</f>
        <v/>
      </c>
      <c r="N293" s="122" t="n"/>
      <c r="O293" s="122" t="n"/>
      <c r="P293" s="122" t="n"/>
      <c r="Q293" s="122" t="n"/>
      <c r="R293" s="122" t="n"/>
      <c r="S293" s="122" t="n"/>
      <c r="T293" s="122" t="n"/>
      <c r="U293" s="122" t="n"/>
      <c r="V293" s="122" t="n"/>
      <c r="W293" s="122" t="n"/>
      <c r="X293" s="122" t="n"/>
    </row>
    <row r="294">
      <c r="A294" s="71" t="inlineStr">
        <is>
          <t>Fluxo de caixa livre (R$)</t>
        </is>
      </c>
      <c r="B294" s="122" t="n"/>
      <c r="C294" s="83">
        <f>-C293-'2. Inputs'!C53</f>
        <v/>
      </c>
      <c r="D294" s="83">
        <f>D291+D282-D293-'2. Inputs'!D53+IF(D$272=10,D292,0)</f>
        <v/>
      </c>
      <c r="E294" s="83">
        <f>E291+E282-E293-'2. Inputs'!E53+IF(E$272=10,E292,0)</f>
        <v/>
      </c>
      <c r="F294" s="83">
        <f>F291+F282-F293-'2. Inputs'!F53+IF(F$272=10,F292,0)</f>
        <v/>
      </c>
      <c r="G294" s="83">
        <f>G291+G282-G293-'2. Inputs'!G53+IF(G$272=10,G292,0)</f>
        <v/>
      </c>
      <c r="H294" s="83">
        <f>H291+H282-H293-'2. Inputs'!H53+IF(H$272=10,H292,0)</f>
        <v/>
      </c>
      <c r="I294" s="83">
        <f>I291+I282-I293-'2. Inputs'!I53+IF(I$272=10,I292,0)</f>
        <v/>
      </c>
      <c r="J294" s="83">
        <f>J291+J282-J293-'2. Inputs'!J53+IF(J$272=10,J292,0)</f>
        <v/>
      </c>
      <c r="K294" s="83">
        <f>K291+K282-K293-'2. Inputs'!K53+IF(K$272=10,K292,0)</f>
        <v/>
      </c>
      <c r="L294" s="83">
        <f>L291+L282-L293-'2. Inputs'!L53+IF(L$272=10,L292,0)</f>
        <v/>
      </c>
      <c r="M294" s="83">
        <f>M291+M282-M293-'2. Inputs'!M53+IF(M$272=10,M292,0)</f>
        <v/>
      </c>
      <c r="N294" s="84">
        <f>C294/(1+'2. Inputs'!$C$81)^C272</f>
        <v/>
      </c>
      <c r="O294" s="84">
        <f>N294+D294/(1+'2. Inputs'!$C$81)^D272</f>
        <v/>
      </c>
      <c r="P294" s="84">
        <f>O294+E294/(1+'2. Inputs'!$C$81)^E272</f>
        <v/>
      </c>
      <c r="Q294" s="84">
        <f>P294+F294/(1+'2. Inputs'!$C$81)^F272</f>
        <v/>
      </c>
      <c r="R294" s="84">
        <f>Q294+G294/(1+'2. Inputs'!$C$81)^G272</f>
        <v/>
      </c>
      <c r="S294" s="84">
        <f>R294+H294/(1+'2. Inputs'!$C$81)^H272</f>
        <v/>
      </c>
      <c r="T294" s="84">
        <f>S294+I294/(1+'2. Inputs'!$C$81)^I272</f>
        <v/>
      </c>
      <c r="U294" s="84">
        <f>T294+J294/(1+'2. Inputs'!$C$81)^J272</f>
        <v/>
      </c>
      <c r="V294" s="84">
        <f>U294+K294/(1+'2. Inputs'!$C$81)^K272</f>
        <v/>
      </c>
      <c r="W294" s="84">
        <f>V294+L294/(1+'2. Inputs'!$C$81)^L272</f>
        <v/>
      </c>
      <c r="X294" s="84">
        <f>W294+M294/(1+'2. Inputs'!$C$81)^M272</f>
        <v/>
      </c>
    </row>
    <row r="295">
      <c r="A295" s="122" t="n"/>
      <c r="B295" s="122" t="n"/>
      <c r="C295" s="122" t="n"/>
      <c r="D295" s="122" t="n"/>
      <c r="E295" s="122" t="n"/>
      <c r="F295" s="122" t="n"/>
      <c r="G295" s="122" t="n"/>
      <c r="H295" s="122" t="n"/>
      <c r="I295" s="122" t="n"/>
      <c r="J295" s="122" t="n"/>
      <c r="K295" s="122" t="n"/>
      <c r="L295" s="122" t="n"/>
      <c r="M295" s="122" t="n"/>
      <c r="N295" s="122" t="n"/>
      <c r="O295" s="122" t="n"/>
      <c r="P295" s="122" t="n"/>
      <c r="Q295" s="122" t="n"/>
      <c r="R295" s="122" t="n"/>
      <c r="S295" s="122" t="n"/>
      <c r="T295" s="122" t="n"/>
      <c r="U295" s="122" t="n"/>
      <c r="V295" s="122" t="n"/>
      <c r="W295" s="122" t="n"/>
      <c r="X295" s="122" t="n"/>
    </row>
    <row r="296">
      <c r="A296" s="15" t="inlineStr">
        <is>
          <t>CORRIDA 12 — Sudeste 70%</t>
        </is>
      </c>
      <c r="B296" s="126" t="n"/>
      <c r="C296" s="126" t="n"/>
      <c r="D296" s="126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2" t="n"/>
      <c r="O296" s="122" t="n"/>
      <c r="P296" s="122" t="n"/>
      <c r="Q296" s="122" t="n"/>
      <c r="R296" s="122" t="n"/>
      <c r="S296" s="122" t="n"/>
      <c r="T296" s="122" t="n"/>
      <c r="U296" s="122" t="n"/>
      <c r="V296" s="122" t="n"/>
      <c r="W296" s="122" t="n"/>
      <c r="X296" s="122" t="n"/>
    </row>
    <row r="297">
      <c r="A297" s="78" t="inlineStr">
        <is>
          <t>Ano</t>
        </is>
      </c>
      <c r="B297" s="122" t="n"/>
      <c r="C297" s="79" t="n">
        <v>0</v>
      </c>
      <c r="D297" s="79" t="n">
        <v>1</v>
      </c>
      <c r="E297" s="79" t="n">
        <v>2</v>
      </c>
      <c r="F297" s="79" t="n">
        <v>3</v>
      </c>
      <c r="G297" s="79" t="n">
        <v>4</v>
      </c>
      <c r="H297" s="79" t="n">
        <v>5</v>
      </c>
      <c r="I297" s="79" t="n">
        <v>6</v>
      </c>
      <c r="J297" s="79" t="n">
        <v>7</v>
      </c>
      <c r="K297" s="79" t="n">
        <v>8</v>
      </c>
      <c r="L297" s="79" t="n">
        <v>9</v>
      </c>
      <c r="M297" s="79" t="n">
        <v>10</v>
      </c>
      <c r="N297" s="122" t="n"/>
      <c r="O297" s="122" t="n"/>
      <c r="P297" s="122" t="n"/>
      <c r="Q297" s="122" t="n"/>
      <c r="R297" s="122" t="n"/>
      <c r="S297" s="122" t="n"/>
      <c r="T297" s="122" t="n"/>
      <c r="U297" s="122" t="n"/>
      <c r="V297" s="122" t="n"/>
      <c r="W297" s="122" t="n"/>
      <c r="X297" s="122" t="n"/>
    </row>
    <row r="298">
      <c r="A298" s="71" t="inlineStr">
        <is>
          <t>Volume (un)</t>
        </is>
      </c>
      <c r="B298" s="122" t="n"/>
      <c r="C298" s="76" t="n"/>
      <c r="D298" s="76">
        <f>'2. Inputs'!D11*(1+$C$18)</f>
        <v/>
      </c>
      <c r="E298" s="76">
        <f>'2. Inputs'!E11*(1+$C$18)</f>
        <v/>
      </c>
      <c r="F298" s="76">
        <f>'2. Inputs'!F11*(1+$C$18)</f>
        <v/>
      </c>
      <c r="G298" s="76">
        <f>'2. Inputs'!G11*(1+$C$18)</f>
        <v/>
      </c>
      <c r="H298" s="76">
        <f>'2. Inputs'!H11*(1+$C$18)</f>
        <v/>
      </c>
      <c r="I298" s="76">
        <f>'2. Inputs'!I11*(1+$C$18)</f>
        <v/>
      </c>
      <c r="J298" s="76">
        <f>'2. Inputs'!J11*(1+$C$18)</f>
        <v/>
      </c>
      <c r="K298" s="76">
        <f>'2. Inputs'!K11*(1+$C$18)</f>
        <v/>
      </c>
      <c r="L298" s="76">
        <f>'2. Inputs'!L11*(1+$C$18)</f>
        <v/>
      </c>
      <c r="M298" s="76">
        <f>'2. Inputs'!M11*(1+$C$18)</f>
        <v/>
      </c>
      <c r="N298" s="122" t="n"/>
      <c r="O298" s="122" t="n"/>
      <c r="P298" s="122" t="n"/>
      <c r="Q298" s="122" t="n"/>
      <c r="R298" s="122" t="n"/>
      <c r="S298" s="122" t="n"/>
      <c r="T298" s="122" t="n"/>
      <c r="U298" s="122" t="n"/>
      <c r="V298" s="122" t="n"/>
      <c r="W298" s="122" t="n"/>
      <c r="X298" s="122" t="n"/>
    </row>
    <row r="299">
      <c r="A299" s="71" t="inlineStr">
        <is>
          <t>Frete unitário (R$/un)</t>
        </is>
      </c>
      <c r="B299" s="80">
        <f>('2. Inputs'!D25*'2. Inputs'!$C$96+'2. Inputs'!D26*'2. Inputs'!$C$97+'2. Inputs'!D27*'2. Inputs'!$C$98+'2. Inputs'!D28*'2. Inputs'!$C$99)/'2. Inputs'!$C$100</f>
        <v/>
      </c>
      <c r="C299" s="81" t="n"/>
      <c r="D299" s="81">
        <f>$G$18*'2. Inputs'!D24+(1-$G$18)*$B$299</f>
        <v/>
      </c>
      <c r="E299" s="81">
        <f>$G$18*'2. Inputs'!E24+(1-$G$18)*$B$299</f>
        <v/>
      </c>
      <c r="F299" s="81">
        <f>$G$18*'2. Inputs'!F24+(1-$G$18)*$B$299</f>
        <v/>
      </c>
      <c r="G299" s="81">
        <f>$G$18*'2. Inputs'!G24+(1-$G$18)*$B$299</f>
        <v/>
      </c>
      <c r="H299" s="81">
        <f>$G$18*'2. Inputs'!H24+(1-$G$18)*$B$299</f>
        <v/>
      </c>
      <c r="I299" s="81">
        <f>$G$18*'2. Inputs'!I24+(1-$G$18)*$B$299</f>
        <v/>
      </c>
      <c r="J299" s="81">
        <f>$G$18*'2. Inputs'!J24+(1-$G$18)*$B$299</f>
        <v/>
      </c>
      <c r="K299" s="81">
        <f>$G$18*'2. Inputs'!K24+(1-$G$18)*$B$299</f>
        <v/>
      </c>
      <c r="L299" s="81">
        <f>$G$18*'2. Inputs'!L24+(1-$G$18)*$B$299</f>
        <v/>
      </c>
      <c r="M299" s="81">
        <f>$G$18*'2. Inputs'!M24+(1-$G$18)*$B$299</f>
        <v/>
      </c>
      <c r="N299" s="122" t="n"/>
      <c r="O299" s="2" t="inlineStr">
        <is>
          <t>Coluna B: frete unitário médio fora do Sudeste, nas proporções da origem (Sul 5%, NE 3%, N 2%, CO 10%).</t>
        </is>
      </c>
      <c r="P299" s="122" t="n"/>
      <c r="Q299" s="122" t="n"/>
      <c r="R299" s="122" t="n"/>
      <c r="S299" s="122" t="n"/>
      <c r="T299" s="122" t="n"/>
      <c r="U299" s="122" t="n"/>
      <c r="V299" s="122" t="n"/>
      <c r="W299" s="122" t="n"/>
      <c r="X299" s="122" t="n"/>
    </row>
    <row r="300">
      <c r="A300" s="71" t="inlineStr">
        <is>
          <t>Custo variável unitário (R$/un)</t>
        </is>
      </c>
      <c r="B300" s="122" t="n"/>
      <c r="C300" s="82" t="n"/>
      <c r="D300" s="82">
        <f>'2. Inputs'!D43*(1+$E$18)</f>
        <v/>
      </c>
      <c r="E300" s="82">
        <f>'2. Inputs'!E43*(1+$E$18)</f>
        <v/>
      </c>
      <c r="F300" s="82">
        <f>'2. Inputs'!F43*(1+$E$18)</f>
        <v/>
      </c>
      <c r="G300" s="82">
        <f>'2. Inputs'!G43*(1+$E$18)</f>
        <v/>
      </c>
      <c r="H300" s="82">
        <f>'2. Inputs'!H43*(1+$E$18)</f>
        <v/>
      </c>
      <c r="I300" s="82">
        <f>'2. Inputs'!I43*(1+$E$18)</f>
        <v/>
      </c>
      <c r="J300" s="82">
        <f>'2. Inputs'!J43*(1+$E$18)</f>
        <v/>
      </c>
      <c r="K300" s="82">
        <f>'2. Inputs'!K43*(1+$E$18)</f>
        <v/>
      </c>
      <c r="L300" s="82">
        <f>'2. Inputs'!L43*(1+$E$18)</f>
        <v/>
      </c>
      <c r="M300" s="82">
        <f>'2. Inputs'!M43*(1+$E$18)</f>
        <v/>
      </c>
      <c r="N300" s="122" t="n"/>
      <c r="O300" s="122" t="n"/>
      <c r="P300" s="122" t="n"/>
      <c r="Q300" s="122" t="n"/>
      <c r="R300" s="122" t="n"/>
      <c r="S300" s="122" t="n"/>
      <c r="T300" s="122" t="n"/>
      <c r="U300" s="122" t="n"/>
      <c r="V300" s="122" t="n"/>
      <c r="W300" s="122" t="n"/>
      <c r="X300" s="122" t="n"/>
    </row>
    <row r="301">
      <c r="A301" s="71" t="inlineStr">
        <is>
          <t>Markup total (%)</t>
        </is>
      </c>
      <c r="B301" s="122" t="n"/>
      <c r="C301" s="72" t="n"/>
      <c r="D301" s="72">
        <f>'2. Inputs'!D32+'2. Inputs'!D33+'2. Inputs'!D34+'2. Inputs'!D35+'2. Inputs'!D36+$D$18</f>
        <v/>
      </c>
      <c r="E301" s="72">
        <f>'2. Inputs'!E32+'2. Inputs'!E33+'2. Inputs'!E34+'2. Inputs'!E35+'2. Inputs'!E36+$D$18</f>
        <v/>
      </c>
      <c r="F301" s="72">
        <f>'2. Inputs'!F32+'2. Inputs'!F33+'2. Inputs'!F34+'2. Inputs'!F35+'2. Inputs'!F36+$D$18</f>
        <v/>
      </c>
      <c r="G301" s="72">
        <f>'2. Inputs'!G32+'2. Inputs'!G33+'2. Inputs'!G34+'2. Inputs'!G35+'2. Inputs'!G36+$D$18</f>
        <v/>
      </c>
      <c r="H301" s="72">
        <f>'2. Inputs'!H32+'2. Inputs'!H33+'2. Inputs'!H34+'2. Inputs'!H35+'2. Inputs'!H36+$D$18</f>
        <v/>
      </c>
      <c r="I301" s="72">
        <f>'2. Inputs'!I32+'2. Inputs'!I33+'2. Inputs'!I34+'2. Inputs'!I35+'2. Inputs'!I36+$D$18</f>
        <v/>
      </c>
      <c r="J301" s="72">
        <f>'2. Inputs'!J32+'2. Inputs'!J33+'2. Inputs'!J34+'2. Inputs'!J35+'2. Inputs'!J36+$D$18</f>
        <v/>
      </c>
      <c r="K301" s="72">
        <f>'2. Inputs'!K32+'2. Inputs'!K33+'2. Inputs'!K34+'2. Inputs'!K35+'2. Inputs'!K36+$D$18</f>
        <v/>
      </c>
      <c r="L301" s="72">
        <f>'2. Inputs'!L32+'2. Inputs'!L33+'2. Inputs'!L34+'2. Inputs'!L35+'2. Inputs'!L36+$D$18</f>
        <v/>
      </c>
      <c r="M301" s="72">
        <f>'2. Inputs'!M32+'2. Inputs'!M33+'2. Inputs'!M34+'2. Inputs'!M35+'2. Inputs'!M36+$D$18</f>
        <v/>
      </c>
      <c r="N301" s="122" t="n"/>
      <c r="O301" s="122" t="n"/>
      <c r="P301" s="122" t="n"/>
      <c r="Q301" s="122" t="n"/>
      <c r="R301" s="122" t="n"/>
      <c r="S301" s="122" t="n"/>
      <c r="T301" s="122" t="n"/>
      <c r="U301" s="122" t="n"/>
      <c r="V301" s="122" t="n"/>
      <c r="W301" s="122" t="n"/>
      <c r="X301" s="122" t="n"/>
    </row>
    <row r="302">
      <c r="A302" s="71" t="inlineStr">
        <is>
          <t>Custo variável (R$)</t>
        </is>
      </c>
      <c r="B302" s="122" t="n"/>
      <c r="C302" s="76" t="n"/>
      <c r="D302" s="76">
        <f>D298*D300</f>
        <v/>
      </c>
      <c r="E302" s="76">
        <f>E298*E300</f>
        <v/>
      </c>
      <c r="F302" s="76">
        <f>F298*F300</f>
        <v/>
      </c>
      <c r="G302" s="76">
        <f>G298*G300</f>
        <v/>
      </c>
      <c r="H302" s="76">
        <f>H298*H300</f>
        <v/>
      </c>
      <c r="I302" s="76">
        <f>I298*I300</f>
        <v/>
      </c>
      <c r="J302" s="76">
        <f>J298*J300</f>
        <v/>
      </c>
      <c r="K302" s="76">
        <f>K298*K300</f>
        <v/>
      </c>
      <c r="L302" s="76">
        <f>L298*L300</f>
        <v/>
      </c>
      <c r="M302" s="76">
        <f>M298*M300</f>
        <v/>
      </c>
      <c r="N302" s="122" t="n"/>
      <c r="O302" s="122" t="n"/>
      <c r="P302" s="122" t="n"/>
      <c r="Q302" s="122" t="n"/>
      <c r="R302" s="122" t="n"/>
      <c r="S302" s="122" t="n"/>
      <c r="T302" s="122" t="n"/>
      <c r="U302" s="122" t="n"/>
      <c r="V302" s="122" t="n"/>
      <c r="W302" s="122" t="n"/>
      <c r="X302" s="122" t="n"/>
    </row>
    <row r="303">
      <c r="A303" s="71" t="inlineStr">
        <is>
          <t>Frete (R$)</t>
        </is>
      </c>
      <c r="B303" s="122" t="n"/>
      <c r="C303" s="76" t="n"/>
      <c r="D303" s="76">
        <f>D298*D299</f>
        <v/>
      </c>
      <c r="E303" s="76">
        <f>E298*E299</f>
        <v/>
      </c>
      <c r="F303" s="76">
        <f>F298*F299</f>
        <v/>
      </c>
      <c r="G303" s="76">
        <f>G298*G299</f>
        <v/>
      </c>
      <c r="H303" s="76">
        <f>H298*H299</f>
        <v/>
      </c>
      <c r="I303" s="76">
        <f>I298*I299</f>
        <v/>
      </c>
      <c r="J303" s="76">
        <f>J298*J299</f>
        <v/>
      </c>
      <c r="K303" s="76">
        <f>K298*K299</f>
        <v/>
      </c>
      <c r="L303" s="76">
        <f>L298*L299</f>
        <v/>
      </c>
      <c r="M303" s="76">
        <f>M298*M299</f>
        <v/>
      </c>
      <c r="N303" s="122" t="n"/>
      <c r="O303" s="122" t="n"/>
      <c r="P303" s="122" t="n"/>
      <c r="Q303" s="122" t="n"/>
      <c r="R303" s="122" t="n"/>
      <c r="S303" s="122" t="n"/>
      <c r="T303" s="122" t="n"/>
      <c r="U303" s="122" t="n"/>
      <c r="V303" s="122" t="n"/>
      <c r="W303" s="122" t="n"/>
      <c r="X303" s="122" t="n"/>
    </row>
    <row r="304">
      <c r="A304" s="71" t="inlineStr">
        <is>
          <t>Custo fixo de estrutura (R$)</t>
        </is>
      </c>
      <c r="B304" s="122" t="n"/>
      <c r="C304" s="76" t="n"/>
      <c r="D304" s="76">
        <f>'2. Inputs'!D46</f>
        <v/>
      </c>
      <c r="E304" s="76">
        <f>'2. Inputs'!E46</f>
        <v/>
      </c>
      <c r="F304" s="76">
        <f>'2. Inputs'!F46</f>
        <v/>
      </c>
      <c r="G304" s="76">
        <f>'2. Inputs'!G46</f>
        <v/>
      </c>
      <c r="H304" s="76">
        <f>'2. Inputs'!H46</f>
        <v/>
      </c>
      <c r="I304" s="76">
        <f>'2. Inputs'!I46</f>
        <v/>
      </c>
      <c r="J304" s="76">
        <f>'2. Inputs'!J46</f>
        <v/>
      </c>
      <c r="K304" s="76">
        <f>'2. Inputs'!K46</f>
        <v/>
      </c>
      <c r="L304" s="76">
        <f>'2. Inputs'!L46</f>
        <v/>
      </c>
      <c r="M304" s="76">
        <f>'2. Inputs'!M46</f>
        <v/>
      </c>
      <c r="N304" s="122" t="n"/>
      <c r="O304" s="122" t="n"/>
      <c r="P304" s="122" t="n"/>
      <c r="Q304" s="122" t="n"/>
      <c r="R304" s="122" t="n"/>
      <c r="S304" s="122" t="n"/>
      <c r="T304" s="122" t="n"/>
      <c r="U304" s="122" t="n"/>
      <c r="V304" s="122" t="n"/>
      <c r="W304" s="122" t="n"/>
      <c r="X304" s="122" t="n"/>
    </row>
    <row r="305">
      <c r="A305" s="71" t="inlineStr">
        <is>
          <t>Manutenção e seguro (R$)</t>
        </is>
      </c>
      <c r="B305" s="122" t="n"/>
      <c r="C305" s="76" t="n"/>
      <c r="D305" s="76">
        <f>('2. Inputs'!D47+'2. Inputs'!D48)*'2. Inputs'!D54</f>
        <v/>
      </c>
      <c r="E305" s="76">
        <f>('2. Inputs'!E47+'2. Inputs'!E48)*'2. Inputs'!E54</f>
        <v/>
      </c>
      <c r="F305" s="76">
        <f>('2. Inputs'!F47+'2. Inputs'!F48)*'2. Inputs'!F54</f>
        <v/>
      </c>
      <c r="G305" s="76">
        <f>('2. Inputs'!G47+'2. Inputs'!G48)*'2. Inputs'!G54</f>
        <v/>
      </c>
      <c r="H305" s="76">
        <f>('2. Inputs'!H47+'2. Inputs'!H48)*'2. Inputs'!H54</f>
        <v/>
      </c>
      <c r="I305" s="76">
        <f>('2. Inputs'!I47+'2. Inputs'!I48)*'2. Inputs'!I54</f>
        <v/>
      </c>
      <c r="J305" s="76">
        <f>('2. Inputs'!J47+'2. Inputs'!J48)*'2. Inputs'!J54</f>
        <v/>
      </c>
      <c r="K305" s="76">
        <f>('2. Inputs'!K47+'2. Inputs'!K48)*'2. Inputs'!K54</f>
        <v/>
      </c>
      <c r="L305" s="76">
        <f>('2. Inputs'!L47+'2. Inputs'!L48)*'2. Inputs'!L54</f>
        <v/>
      </c>
      <c r="M305" s="76">
        <f>('2. Inputs'!M47+'2. Inputs'!M48)*'2. Inputs'!M54</f>
        <v/>
      </c>
      <c r="N305" s="122" t="n"/>
      <c r="O305" s="122" t="n"/>
      <c r="P305" s="122" t="n"/>
      <c r="Q305" s="122" t="n"/>
      <c r="R305" s="122" t="n"/>
      <c r="S305" s="122" t="n"/>
      <c r="T305" s="122" t="n"/>
      <c r="U305" s="122" t="n"/>
      <c r="V305" s="122" t="n"/>
      <c r="W305" s="122" t="n"/>
      <c r="X305" s="122" t="n"/>
    </row>
    <row r="306">
      <c r="A306" s="71" t="inlineStr">
        <is>
          <t>Contingência (R$)</t>
        </is>
      </c>
      <c r="B306" s="122" t="n"/>
      <c r="C306" s="76" t="n"/>
      <c r="D306" s="76">
        <f>$F$18*'2. Inputs'!D54</f>
        <v/>
      </c>
      <c r="E306" s="76">
        <f>$F$18*'2. Inputs'!E54</f>
        <v/>
      </c>
      <c r="F306" s="76">
        <f>$F$18*'2. Inputs'!F54</f>
        <v/>
      </c>
      <c r="G306" s="76">
        <f>$F$18*'2. Inputs'!G54</f>
        <v/>
      </c>
      <c r="H306" s="76">
        <f>$F$18*'2. Inputs'!H54</f>
        <v/>
      </c>
      <c r="I306" s="76">
        <f>$F$18*'2. Inputs'!I54</f>
        <v/>
      </c>
      <c r="J306" s="76">
        <f>$F$18*'2. Inputs'!J54</f>
        <v/>
      </c>
      <c r="K306" s="76">
        <f>$F$18*'2. Inputs'!K54</f>
        <v/>
      </c>
      <c r="L306" s="76">
        <f>$F$18*'2. Inputs'!L54</f>
        <v/>
      </c>
      <c r="M306" s="76">
        <f>$F$18*'2. Inputs'!M54</f>
        <v/>
      </c>
      <c r="N306" s="122" t="n"/>
      <c r="O306" s="122" t="n"/>
      <c r="P306" s="122" t="n"/>
      <c r="Q306" s="122" t="n"/>
      <c r="R306" s="122" t="n"/>
      <c r="S306" s="122" t="n"/>
      <c r="T306" s="122" t="n"/>
      <c r="U306" s="122" t="n"/>
      <c r="V306" s="122" t="n"/>
      <c r="W306" s="122" t="n"/>
      <c r="X306" s="122" t="n"/>
    </row>
    <row r="307">
      <c r="A307" s="71" t="inlineStr">
        <is>
          <t>Depreciação (R$)</t>
        </is>
      </c>
      <c r="B307" s="122" t="n"/>
      <c r="C307" s="76" t="n"/>
      <c r="D307" s="76">
        <f>'3. Depreciacao'!D31</f>
        <v/>
      </c>
      <c r="E307" s="76">
        <f>'3. Depreciacao'!E31</f>
        <v/>
      </c>
      <c r="F307" s="76">
        <f>'3. Depreciacao'!F31</f>
        <v/>
      </c>
      <c r="G307" s="76">
        <f>'3. Depreciacao'!G31</f>
        <v/>
      </c>
      <c r="H307" s="76">
        <f>'3. Depreciacao'!H31</f>
        <v/>
      </c>
      <c r="I307" s="76">
        <f>'3. Depreciacao'!I31</f>
        <v/>
      </c>
      <c r="J307" s="76">
        <f>'3. Depreciacao'!J31</f>
        <v/>
      </c>
      <c r="K307" s="76">
        <f>'3. Depreciacao'!K31</f>
        <v/>
      </c>
      <c r="L307" s="76">
        <f>'3. Depreciacao'!L31</f>
        <v/>
      </c>
      <c r="M307" s="76">
        <f>'3. Depreciacao'!M31</f>
        <v/>
      </c>
      <c r="N307" s="122" t="n"/>
      <c r="O307" s="122" t="n"/>
      <c r="P307" s="122" t="n"/>
      <c r="Q307" s="122" t="n"/>
      <c r="R307" s="122" t="n"/>
      <c r="S307" s="122" t="n"/>
      <c r="T307" s="122" t="n"/>
      <c r="U307" s="122" t="n"/>
      <c r="V307" s="122" t="n"/>
      <c r="W307" s="122" t="n"/>
      <c r="X307" s="122" t="n"/>
    </row>
    <row r="308">
      <c r="A308" s="71" t="inlineStr">
        <is>
          <t>Custo total (R$)</t>
        </is>
      </c>
      <c r="B308" s="122" t="n"/>
      <c r="C308" s="76" t="n"/>
      <c r="D308" s="76">
        <f>SUM(D302:D307)</f>
        <v/>
      </c>
      <c r="E308" s="76">
        <f>SUM(E302:E307)</f>
        <v/>
      </c>
      <c r="F308" s="76">
        <f>SUM(F302:F307)</f>
        <v/>
      </c>
      <c r="G308" s="76">
        <f>SUM(G302:G307)</f>
        <v/>
      </c>
      <c r="H308" s="76">
        <f>SUM(H302:H307)</f>
        <v/>
      </c>
      <c r="I308" s="76">
        <f>SUM(I302:I307)</f>
        <v/>
      </c>
      <c r="J308" s="76">
        <f>SUM(J302:J307)</f>
        <v/>
      </c>
      <c r="K308" s="76">
        <f>SUM(K302:K307)</f>
        <v/>
      </c>
      <c r="L308" s="76">
        <f>SUM(L302:L307)</f>
        <v/>
      </c>
      <c r="M308" s="76">
        <f>SUM(M302:M307)</f>
        <v/>
      </c>
      <c r="N308" s="122" t="n"/>
      <c r="O308" s="122" t="n"/>
      <c r="P308" s="122" t="n"/>
      <c r="Q308" s="122" t="n"/>
      <c r="R308" s="122" t="n"/>
      <c r="S308" s="122" t="n"/>
      <c r="T308" s="122" t="n"/>
      <c r="U308" s="122" t="n"/>
      <c r="V308" s="122" t="n"/>
      <c r="W308" s="122" t="n"/>
      <c r="X308" s="122" t="n"/>
    </row>
    <row r="309">
      <c r="A309" s="71" t="inlineStr">
        <is>
          <t>Preço bruto unitário (R$/un)</t>
        </is>
      </c>
      <c r="B309" s="122" t="n"/>
      <c r="C309" s="82" t="n"/>
      <c r="D309" s="82">
        <f>IF('2. Inputs'!$C$38=1,D308/D298/(1-D301),'2. Inputs'!D39)</f>
        <v/>
      </c>
      <c r="E309" s="82">
        <f>IF('2. Inputs'!$C$38=1,E308/E298/(1-E301),'2. Inputs'!E39)</f>
        <v/>
      </c>
      <c r="F309" s="82">
        <f>IF('2. Inputs'!$C$38=1,F308/F298/(1-F301),'2. Inputs'!F39)</f>
        <v/>
      </c>
      <c r="G309" s="82">
        <f>IF('2. Inputs'!$C$38=1,G308/G298/(1-G301),'2. Inputs'!G39)</f>
        <v/>
      </c>
      <c r="H309" s="82">
        <f>IF('2. Inputs'!$C$38=1,H308/H298/(1-H301),'2. Inputs'!H39)</f>
        <v/>
      </c>
      <c r="I309" s="82">
        <f>IF('2. Inputs'!$C$38=1,I308/I298/(1-I301),'2. Inputs'!I39)</f>
        <v/>
      </c>
      <c r="J309" s="82">
        <f>IF('2. Inputs'!$C$38=1,J308/J298/(1-J301),'2. Inputs'!J39)</f>
        <v/>
      </c>
      <c r="K309" s="82">
        <f>IF('2. Inputs'!$C$38=1,K308/K298/(1-K301),'2. Inputs'!K39)</f>
        <v/>
      </c>
      <c r="L309" s="82">
        <f>IF('2. Inputs'!$C$38=1,L308/L298/(1-L301),'2. Inputs'!L39)</f>
        <v/>
      </c>
      <c r="M309" s="82">
        <f>IF('2. Inputs'!$C$38=1,M308/M298/(1-M301),'2. Inputs'!M39)</f>
        <v/>
      </c>
      <c r="N309" s="122" t="n"/>
      <c r="O309" s="122" t="n"/>
      <c r="P309" s="122" t="n"/>
      <c r="Q309" s="122" t="n"/>
      <c r="R309" s="122" t="n"/>
      <c r="S309" s="122" t="n"/>
      <c r="T309" s="122" t="n"/>
      <c r="U309" s="122" t="n"/>
      <c r="V309" s="122" t="n"/>
      <c r="W309" s="122" t="n"/>
      <c r="X309" s="122" t="n"/>
    </row>
    <row r="310">
      <c r="A310" s="71" t="inlineStr">
        <is>
          <t>Receita bruta (R$)</t>
        </is>
      </c>
      <c r="B310" s="122" t="n"/>
      <c r="C310" s="76" t="n"/>
      <c r="D310" s="76">
        <f>D298*D309</f>
        <v/>
      </c>
      <c r="E310" s="76">
        <f>E298*E309</f>
        <v/>
      </c>
      <c r="F310" s="76">
        <f>F298*F309</f>
        <v/>
      </c>
      <c r="G310" s="76">
        <f>G298*G309</f>
        <v/>
      </c>
      <c r="H310" s="76">
        <f>H298*H309</f>
        <v/>
      </c>
      <c r="I310" s="76">
        <f>I298*I309</f>
        <v/>
      </c>
      <c r="J310" s="76">
        <f>J298*J309</f>
        <v/>
      </c>
      <c r="K310" s="76">
        <f>K298*K309</f>
        <v/>
      </c>
      <c r="L310" s="76">
        <f>L298*L309</f>
        <v/>
      </c>
      <c r="M310" s="76">
        <f>M298*M309</f>
        <v/>
      </c>
      <c r="N310" s="122" t="n"/>
      <c r="O310" s="122" t="n"/>
      <c r="P310" s="122" t="n"/>
      <c r="Q310" s="122" t="n"/>
      <c r="R310" s="122" t="n"/>
      <c r="S310" s="122" t="n"/>
      <c r="T310" s="122" t="n"/>
      <c r="U310" s="122" t="n"/>
      <c r="V310" s="122" t="n"/>
      <c r="W310" s="122" t="n"/>
      <c r="X310" s="122" t="n"/>
    </row>
    <row r="311">
      <c r="A311" s="71" t="inlineStr">
        <is>
          <t>Comissão (R$)</t>
        </is>
      </c>
      <c r="B311" s="122" t="n"/>
      <c r="C311" s="76" t="n"/>
      <c r="D311" s="76">
        <f>'2. Inputs'!D35*D310</f>
        <v/>
      </c>
      <c r="E311" s="76">
        <f>'2. Inputs'!E35*E310</f>
        <v/>
      </c>
      <c r="F311" s="76">
        <f>'2. Inputs'!F35*F310</f>
        <v/>
      </c>
      <c r="G311" s="76">
        <f>'2. Inputs'!G35*G310</f>
        <v/>
      </c>
      <c r="H311" s="76">
        <f>'2. Inputs'!H35*H310</f>
        <v/>
      </c>
      <c r="I311" s="76">
        <f>'2. Inputs'!I35*I310</f>
        <v/>
      </c>
      <c r="J311" s="76">
        <f>'2. Inputs'!J35*J310</f>
        <v/>
      </c>
      <c r="K311" s="76">
        <f>'2. Inputs'!K35*K310</f>
        <v/>
      </c>
      <c r="L311" s="76">
        <f>'2. Inputs'!L35*L310</f>
        <v/>
      </c>
      <c r="M311" s="76">
        <f>'2. Inputs'!M35*M310</f>
        <v/>
      </c>
      <c r="N311" s="122" t="n"/>
      <c r="O311" s="122" t="n"/>
      <c r="P311" s="122" t="n"/>
      <c r="Q311" s="122" t="n"/>
      <c r="R311" s="122" t="n"/>
      <c r="S311" s="122" t="n"/>
      <c r="T311" s="122" t="n"/>
      <c r="U311" s="122" t="n"/>
      <c r="V311" s="122" t="n"/>
      <c r="W311" s="122" t="n"/>
      <c r="X311" s="122" t="n"/>
    </row>
    <row r="312">
      <c r="A312" s="71" t="inlineStr">
        <is>
          <t>Receita líquida (R$)</t>
        </is>
      </c>
      <c r="B312" s="122" t="n"/>
      <c r="C312" s="76" t="n"/>
      <c r="D312" s="76">
        <f>D310*(1-'2. Inputs'!D32-'2. Inputs'!D33-'2. Inputs'!D34)</f>
        <v/>
      </c>
      <c r="E312" s="76">
        <f>E310*(1-'2. Inputs'!E32-'2. Inputs'!E33-'2. Inputs'!E34)</f>
        <v/>
      </c>
      <c r="F312" s="76">
        <f>F310*(1-'2. Inputs'!F32-'2. Inputs'!F33-'2. Inputs'!F34)</f>
        <v/>
      </c>
      <c r="G312" s="76">
        <f>G310*(1-'2. Inputs'!G32-'2. Inputs'!G33-'2. Inputs'!G34)</f>
        <v/>
      </c>
      <c r="H312" s="76">
        <f>H310*(1-'2. Inputs'!H32-'2. Inputs'!H33-'2. Inputs'!H34)</f>
        <v/>
      </c>
      <c r="I312" s="76">
        <f>I310*(1-'2. Inputs'!I32-'2. Inputs'!I33-'2. Inputs'!I34)</f>
        <v/>
      </c>
      <c r="J312" s="76">
        <f>J310*(1-'2. Inputs'!J32-'2. Inputs'!J33-'2. Inputs'!J34)</f>
        <v/>
      </c>
      <c r="K312" s="76">
        <f>K310*(1-'2. Inputs'!K32-'2. Inputs'!K33-'2. Inputs'!K34)</f>
        <v/>
      </c>
      <c r="L312" s="76">
        <f>L310*(1-'2. Inputs'!L32-'2. Inputs'!L33-'2. Inputs'!L34)</f>
        <v/>
      </c>
      <c r="M312" s="76">
        <f>M310*(1-'2. Inputs'!M32-'2. Inputs'!M33-'2. Inputs'!M34)</f>
        <v/>
      </c>
      <c r="N312" s="122" t="n"/>
      <c r="O312" s="122" t="n"/>
      <c r="P312" s="122" t="n"/>
      <c r="Q312" s="122" t="n"/>
      <c r="R312" s="122" t="n"/>
      <c r="S312" s="122" t="n"/>
      <c r="T312" s="122" t="n"/>
      <c r="U312" s="122" t="n"/>
      <c r="V312" s="122" t="n"/>
      <c r="W312" s="122" t="n"/>
      <c r="X312" s="122" t="n"/>
    </row>
    <row r="313">
      <c r="A313" s="71" t="inlineStr">
        <is>
          <t>EBITDA (R$)</t>
        </is>
      </c>
      <c r="B313" s="122" t="n"/>
      <c r="C313" s="76" t="n"/>
      <c r="D313" s="76">
        <f>D312-D302-D303-D311-D304-D305-D306</f>
        <v/>
      </c>
      <c r="E313" s="76">
        <f>E312-E302-E303-E311-E304-E305-E306</f>
        <v/>
      </c>
      <c r="F313" s="76">
        <f>F312-F302-F303-F311-F304-F305-F306</f>
        <v/>
      </c>
      <c r="G313" s="76">
        <f>G312-G302-G303-G311-G304-G305-G306</f>
        <v/>
      </c>
      <c r="H313" s="76">
        <f>H312-H302-H303-H311-H304-H305-H306</f>
        <v/>
      </c>
      <c r="I313" s="76">
        <f>I312-I302-I303-I311-I304-I305-I306</f>
        <v/>
      </c>
      <c r="J313" s="76">
        <f>J312-J302-J303-J311-J304-J305-J306</f>
        <v/>
      </c>
      <c r="K313" s="76">
        <f>K312-K302-K303-K311-K304-K305-K306</f>
        <v/>
      </c>
      <c r="L313" s="76">
        <f>L312-L302-L303-L311-L304-L305-L306</f>
        <v/>
      </c>
      <c r="M313" s="76">
        <f>M312-M302-M303-M311-M304-M305-M306</f>
        <v/>
      </c>
      <c r="N313" s="122" t="n"/>
      <c r="O313" s="122" t="n"/>
      <c r="P313" s="122" t="n"/>
      <c r="Q313" s="122" t="n"/>
      <c r="R313" s="122" t="n"/>
      <c r="S313" s="122" t="n"/>
      <c r="T313" s="122" t="n"/>
      <c r="U313" s="122" t="n"/>
      <c r="V313" s="122" t="n"/>
      <c r="W313" s="122" t="n"/>
      <c r="X313" s="122" t="n"/>
    </row>
    <row r="314">
      <c r="A314" s="71" t="inlineStr">
        <is>
          <t>EBIT (R$)</t>
        </is>
      </c>
      <c r="B314" s="122" t="n"/>
      <c r="C314" s="76" t="n"/>
      <c r="D314" s="76">
        <f>D313-D307</f>
        <v/>
      </c>
      <c r="E314" s="76">
        <f>E313-E307</f>
        <v/>
      </c>
      <c r="F314" s="76">
        <f>F313-F307</f>
        <v/>
      </c>
      <c r="G314" s="76">
        <f>G313-G307</f>
        <v/>
      </c>
      <c r="H314" s="76">
        <f>H313-H307</f>
        <v/>
      </c>
      <c r="I314" s="76">
        <f>I313-I307</f>
        <v/>
      </c>
      <c r="J314" s="76">
        <f>J313-J307</f>
        <v/>
      </c>
      <c r="K314" s="76">
        <f>K313-K307</f>
        <v/>
      </c>
      <c r="L314" s="76">
        <f>L313-L307</f>
        <v/>
      </c>
      <c r="M314" s="76">
        <f>M313-M307</f>
        <v/>
      </c>
      <c r="N314" s="122" t="n"/>
      <c r="O314" s="122" t="n"/>
      <c r="P314" s="122" t="n"/>
      <c r="Q314" s="122" t="n"/>
      <c r="R314" s="122" t="n"/>
      <c r="S314" s="122" t="n"/>
      <c r="T314" s="122" t="n"/>
      <c r="U314" s="122" t="n"/>
      <c r="V314" s="122" t="n"/>
      <c r="W314" s="122" t="n"/>
      <c r="X314" s="122" t="n"/>
    </row>
    <row r="315">
      <c r="A315" s="71" t="inlineStr">
        <is>
          <t>IRPJ + adicional + CSLL (R$)</t>
        </is>
      </c>
      <c r="B315" s="122" t="n"/>
      <c r="C315" s="76" t="n"/>
      <c r="D315" s="76">
        <f>IF(D314&gt;0,'2. Inputs'!D58*D314+'2. Inputs'!D59*MAX(0,D314-'2. Inputs'!D60)+'2. Inputs'!D61*D314,0)</f>
        <v/>
      </c>
      <c r="E315" s="76">
        <f>IF(E314&gt;0,'2. Inputs'!E58*E314+'2. Inputs'!E59*MAX(0,E314-'2. Inputs'!E60)+'2. Inputs'!E61*E314,0)</f>
        <v/>
      </c>
      <c r="F315" s="76">
        <f>IF(F314&gt;0,'2. Inputs'!F58*F314+'2. Inputs'!F59*MAX(0,F314-'2. Inputs'!F60)+'2. Inputs'!F61*F314,0)</f>
        <v/>
      </c>
      <c r="G315" s="76">
        <f>IF(G314&gt;0,'2. Inputs'!G58*G314+'2. Inputs'!G59*MAX(0,G314-'2. Inputs'!G60)+'2. Inputs'!G61*G314,0)</f>
        <v/>
      </c>
      <c r="H315" s="76">
        <f>IF(H314&gt;0,'2. Inputs'!H58*H314+'2. Inputs'!H59*MAX(0,H314-'2. Inputs'!H60)+'2. Inputs'!H61*H314,0)</f>
        <v/>
      </c>
      <c r="I315" s="76">
        <f>IF(I314&gt;0,'2. Inputs'!I58*I314+'2. Inputs'!I59*MAX(0,I314-'2. Inputs'!I60)+'2. Inputs'!I61*I314,0)</f>
        <v/>
      </c>
      <c r="J315" s="76">
        <f>IF(J314&gt;0,'2. Inputs'!J58*J314+'2. Inputs'!J59*MAX(0,J314-'2. Inputs'!J60)+'2. Inputs'!J61*J314,0)</f>
        <v/>
      </c>
      <c r="K315" s="76">
        <f>IF(K314&gt;0,'2. Inputs'!K58*K314+'2. Inputs'!K59*MAX(0,K314-'2. Inputs'!K60)+'2. Inputs'!K61*K314,0)</f>
        <v/>
      </c>
      <c r="L315" s="76">
        <f>IF(L314&gt;0,'2. Inputs'!L58*L314+'2. Inputs'!L59*MAX(0,L314-'2. Inputs'!L60)+'2. Inputs'!L61*L314,0)</f>
        <v/>
      </c>
      <c r="M315" s="76">
        <f>IF(M314&gt;0,'2. Inputs'!M58*M314+'2. Inputs'!M59*MAX(0,M314-'2. Inputs'!M60)+'2. Inputs'!M61*M314,0)</f>
        <v/>
      </c>
      <c r="N315" s="122" t="n"/>
      <c r="O315" s="122" t="n"/>
      <c r="P315" s="122" t="n"/>
      <c r="Q315" s="122" t="n"/>
      <c r="R315" s="122" t="n"/>
      <c r="S315" s="122" t="n"/>
      <c r="T315" s="122" t="n"/>
      <c r="U315" s="122" t="n"/>
      <c r="V315" s="122" t="n"/>
      <c r="W315" s="122" t="n"/>
      <c r="X315" s="122" t="n"/>
    </row>
    <row r="316">
      <c r="A316" s="71" t="inlineStr">
        <is>
          <t>NOPAT (R$)</t>
        </is>
      </c>
      <c r="B316" s="122" t="n"/>
      <c r="C316" s="76" t="n"/>
      <c r="D316" s="76">
        <f>D314-D315</f>
        <v/>
      </c>
      <c r="E316" s="76">
        <f>E314-E315</f>
        <v/>
      </c>
      <c r="F316" s="76">
        <f>F314-F315</f>
        <v/>
      </c>
      <c r="G316" s="76">
        <f>G314-G315</f>
        <v/>
      </c>
      <c r="H316" s="76">
        <f>H314-H315</f>
        <v/>
      </c>
      <c r="I316" s="76">
        <f>I314-I315</f>
        <v/>
      </c>
      <c r="J316" s="76">
        <f>J314-J315</f>
        <v/>
      </c>
      <c r="K316" s="76">
        <f>K314-K315</f>
        <v/>
      </c>
      <c r="L316" s="76">
        <f>L314-L315</f>
        <v/>
      </c>
      <c r="M316" s="76">
        <f>M314-M315</f>
        <v/>
      </c>
      <c r="N316" s="122" t="n"/>
      <c r="O316" s="122" t="n"/>
      <c r="P316" s="122" t="n"/>
      <c r="Q316" s="122" t="n"/>
      <c r="R316" s="122" t="n"/>
      <c r="S316" s="122" t="n"/>
      <c r="T316" s="122" t="n"/>
      <c r="U316" s="122" t="n"/>
      <c r="V316" s="122" t="n"/>
      <c r="W316" s="122" t="n"/>
      <c r="X316" s="122" t="n"/>
    </row>
    <row r="317">
      <c r="A317" s="71" t="inlineStr">
        <is>
          <t>Capital de giro (R$)</t>
        </is>
      </c>
      <c r="B317" s="122" t="n"/>
      <c r="C317" s="76">
        <f>D317</f>
        <v/>
      </c>
      <c r="D317" s="76">
        <f>'2. Inputs'!D64/'2. Inputs'!D68*D310+'2. Inputs'!D65/'2. Inputs'!D68*(D302+D303)+'2. Inputs'!D67/'2. Inputs'!D68*(D302+D303+D311+D304+D305+D306)-'2. Inputs'!D66/'2. Inputs'!D68*(D302+D303)</f>
        <v/>
      </c>
      <c r="E317" s="76">
        <f>'2. Inputs'!E64/'2. Inputs'!E68*E310+'2. Inputs'!E65/'2. Inputs'!E68*(E302+E303)+'2. Inputs'!E67/'2. Inputs'!E68*(E302+E303+E311+E304+E305+E306)-'2. Inputs'!E66/'2. Inputs'!E68*(E302+E303)</f>
        <v/>
      </c>
      <c r="F317" s="76">
        <f>'2. Inputs'!F64/'2. Inputs'!F68*F310+'2. Inputs'!F65/'2. Inputs'!F68*(F302+F303)+'2. Inputs'!F67/'2. Inputs'!F68*(F302+F303+F311+F304+F305+F306)-'2. Inputs'!F66/'2. Inputs'!F68*(F302+F303)</f>
        <v/>
      </c>
      <c r="G317" s="76">
        <f>'2. Inputs'!G64/'2. Inputs'!G68*G310+'2. Inputs'!G65/'2. Inputs'!G68*(G302+G303)+'2. Inputs'!G67/'2. Inputs'!G68*(G302+G303+G311+G304+G305+G306)-'2. Inputs'!G66/'2. Inputs'!G68*(G302+G303)</f>
        <v/>
      </c>
      <c r="H317" s="76">
        <f>'2. Inputs'!H64/'2. Inputs'!H68*H310+'2. Inputs'!H65/'2. Inputs'!H68*(H302+H303)+'2. Inputs'!H67/'2. Inputs'!H68*(H302+H303+H311+H304+H305+H306)-'2. Inputs'!H66/'2. Inputs'!H68*(H302+H303)</f>
        <v/>
      </c>
      <c r="I317" s="76">
        <f>'2. Inputs'!I64/'2. Inputs'!I68*I310+'2. Inputs'!I65/'2. Inputs'!I68*(I302+I303)+'2. Inputs'!I67/'2. Inputs'!I68*(I302+I303+I311+I304+I305+I306)-'2. Inputs'!I66/'2. Inputs'!I68*(I302+I303)</f>
        <v/>
      </c>
      <c r="J317" s="76">
        <f>'2. Inputs'!J64/'2. Inputs'!J68*J310+'2. Inputs'!J65/'2. Inputs'!J68*(J302+J303)+'2. Inputs'!J67/'2. Inputs'!J68*(J302+J303+J311+J304+J305+J306)-'2. Inputs'!J66/'2. Inputs'!J68*(J302+J303)</f>
        <v/>
      </c>
      <c r="K317" s="76">
        <f>'2. Inputs'!K64/'2. Inputs'!K68*K310+'2. Inputs'!K65/'2. Inputs'!K68*(K302+K303)+'2. Inputs'!K67/'2. Inputs'!K68*(K302+K303+K311+K304+K305+K306)-'2. Inputs'!K66/'2. Inputs'!K68*(K302+K303)</f>
        <v/>
      </c>
      <c r="L317" s="76">
        <f>'2. Inputs'!L64/'2. Inputs'!L68*L310+'2. Inputs'!L65/'2. Inputs'!L68*(L302+L303)+'2. Inputs'!L67/'2. Inputs'!L68*(L302+L303+L311+L304+L305+L306)-'2. Inputs'!L66/'2. Inputs'!L68*(L302+L303)</f>
        <v/>
      </c>
      <c r="M317" s="76">
        <f>'2. Inputs'!M64/'2. Inputs'!M68*M310+'2. Inputs'!M65/'2. Inputs'!M68*(M302+M303)+'2. Inputs'!M67/'2. Inputs'!M68*(M302+M303+M311+M304+M305+M306)-'2. Inputs'!M66/'2. Inputs'!M68*(M302+M303)</f>
        <v/>
      </c>
      <c r="N317" s="122" t="n"/>
      <c r="O317" s="122" t="n"/>
      <c r="P317" s="122" t="n"/>
      <c r="Q317" s="122" t="n"/>
      <c r="R317" s="122" t="n"/>
      <c r="S317" s="122" t="n"/>
      <c r="T317" s="122" t="n"/>
      <c r="U317" s="122" t="n"/>
      <c r="V317" s="122" t="n"/>
      <c r="W317" s="122" t="n"/>
      <c r="X317" s="122" t="n"/>
    </row>
    <row r="318">
      <c r="A318" s="71" t="inlineStr">
        <is>
          <t>Δ capital de giro (R$)</t>
        </is>
      </c>
      <c r="B318" s="122" t="n"/>
      <c r="C318" s="76">
        <f>C317</f>
        <v/>
      </c>
      <c r="D318" s="76">
        <f>D317-C317</f>
        <v/>
      </c>
      <c r="E318" s="76">
        <f>E317-D317</f>
        <v/>
      </c>
      <c r="F318" s="76">
        <f>F317-E317</f>
        <v/>
      </c>
      <c r="G318" s="76">
        <f>G317-F317</f>
        <v/>
      </c>
      <c r="H318" s="76">
        <f>H317-G317</f>
        <v/>
      </c>
      <c r="I318" s="76">
        <f>I317-H317</f>
        <v/>
      </c>
      <c r="J318" s="76">
        <f>J317-I317</f>
        <v/>
      </c>
      <c r="K318" s="76">
        <f>K317-J317</f>
        <v/>
      </c>
      <c r="L318" s="76">
        <f>L317-K317</f>
        <v/>
      </c>
      <c r="M318" s="76">
        <f>M317-L317</f>
        <v/>
      </c>
      <c r="N318" s="122" t="n"/>
      <c r="O318" s="122" t="n"/>
      <c r="P318" s="122" t="n"/>
      <c r="Q318" s="122" t="n"/>
      <c r="R318" s="122" t="n"/>
      <c r="S318" s="122" t="n"/>
      <c r="T318" s="122" t="n"/>
      <c r="U318" s="122" t="n"/>
      <c r="V318" s="122" t="n"/>
      <c r="W318" s="122" t="n"/>
      <c r="X318" s="122" t="n"/>
    </row>
    <row r="319">
      <c r="A319" s="71" t="inlineStr">
        <is>
          <t>Fluxo de caixa livre (R$)</t>
        </is>
      </c>
      <c r="B319" s="122" t="n"/>
      <c r="C319" s="83">
        <f>-C318-'2. Inputs'!C53</f>
        <v/>
      </c>
      <c r="D319" s="83">
        <f>D316+D307-D318-'2. Inputs'!D53+IF(D$297=10,D317,0)</f>
        <v/>
      </c>
      <c r="E319" s="83">
        <f>E316+E307-E318-'2. Inputs'!E53+IF(E$297=10,E317,0)</f>
        <v/>
      </c>
      <c r="F319" s="83">
        <f>F316+F307-F318-'2. Inputs'!F53+IF(F$297=10,F317,0)</f>
        <v/>
      </c>
      <c r="G319" s="83">
        <f>G316+G307-G318-'2. Inputs'!G53+IF(G$297=10,G317,0)</f>
        <v/>
      </c>
      <c r="H319" s="83">
        <f>H316+H307-H318-'2. Inputs'!H53+IF(H$297=10,H317,0)</f>
        <v/>
      </c>
      <c r="I319" s="83">
        <f>I316+I307-I318-'2. Inputs'!I53+IF(I$297=10,I317,0)</f>
        <v/>
      </c>
      <c r="J319" s="83">
        <f>J316+J307-J318-'2. Inputs'!J53+IF(J$297=10,J317,0)</f>
        <v/>
      </c>
      <c r="K319" s="83">
        <f>K316+K307-K318-'2. Inputs'!K53+IF(K$297=10,K317,0)</f>
        <v/>
      </c>
      <c r="L319" s="83">
        <f>L316+L307-L318-'2. Inputs'!L53+IF(L$297=10,L317,0)</f>
        <v/>
      </c>
      <c r="M319" s="83">
        <f>M316+M307-M318-'2. Inputs'!M53+IF(M$297=10,M317,0)</f>
        <v/>
      </c>
      <c r="N319" s="84">
        <f>C319/(1+'2. Inputs'!$C$81)^C297</f>
        <v/>
      </c>
      <c r="O319" s="84">
        <f>N319+D319/(1+'2. Inputs'!$C$81)^D297</f>
        <v/>
      </c>
      <c r="P319" s="84">
        <f>O319+E319/(1+'2. Inputs'!$C$81)^E297</f>
        <v/>
      </c>
      <c r="Q319" s="84">
        <f>P319+F319/(1+'2. Inputs'!$C$81)^F297</f>
        <v/>
      </c>
      <c r="R319" s="84">
        <f>Q319+G319/(1+'2. Inputs'!$C$81)^G297</f>
        <v/>
      </c>
      <c r="S319" s="84">
        <f>R319+H319/(1+'2. Inputs'!$C$81)^H297</f>
        <v/>
      </c>
      <c r="T319" s="84">
        <f>S319+I319/(1+'2. Inputs'!$C$81)^I297</f>
        <v/>
      </c>
      <c r="U319" s="84">
        <f>T319+J319/(1+'2. Inputs'!$C$81)^J297</f>
        <v/>
      </c>
      <c r="V319" s="84">
        <f>U319+K319/(1+'2. Inputs'!$C$81)^K297</f>
        <v/>
      </c>
      <c r="W319" s="84">
        <f>V319+L319/(1+'2. Inputs'!$C$81)^L297</f>
        <v/>
      </c>
      <c r="X319" s="84">
        <f>W319+M319/(1+'2. Inputs'!$C$81)^M297</f>
        <v/>
      </c>
    </row>
    <row r="320">
      <c r="A320" s="122" t="n"/>
      <c r="B320" s="122" t="n"/>
      <c r="C320" s="122" t="n"/>
      <c r="D320" s="122" t="n"/>
      <c r="E320" s="122" t="n"/>
      <c r="F320" s="122" t="n"/>
      <c r="G320" s="122" t="n"/>
      <c r="H320" s="122" t="n"/>
      <c r="I320" s="122" t="n"/>
      <c r="J320" s="122" t="n"/>
      <c r="K320" s="122" t="n"/>
      <c r="L320" s="122" t="n"/>
      <c r="M320" s="122" t="n"/>
      <c r="N320" s="122" t="n"/>
      <c r="O320" s="122" t="n"/>
      <c r="P320" s="122" t="n"/>
      <c r="Q320" s="122" t="n"/>
      <c r="R320" s="122" t="n"/>
      <c r="S320" s="122" t="n"/>
      <c r="T320" s="122" t="n"/>
      <c r="U320" s="122" t="n"/>
      <c r="V320" s="122" t="n"/>
      <c r="W320" s="122" t="n"/>
      <c r="X320" s="122" t="n"/>
    </row>
    <row r="321">
      <c r="A321" s="15" t="inlineStr">
        <is>
          <t>CORRIDA 13 — Sudeste 90%</t>
        </is>
      </c>
      <c r="B321" s="126" t="n"/>
      <c r="C321" s="126" t="n"/>
      <c r="D321" s="126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2" t="n"/>
      <c r="O321" s="122" t="n"/>
      <c r="P321" s="122" t="n"/>
      <c r="Q321" s="122" t="n"/>
      <c r="R321" s="122" t="n"/>
      <c r="S321" s="122" t="n"/>
      <c r="T321" s="122" t="n"/>
      <c r="U321" s="122" t="n"/>
      <c r="V321" s="122" t="n"/>
      <c r="W321" s="122" t="n"/>
      <c r="X321" s="122" t="n"/>
    </row>
    <row r="322">
      <c r="A322" s="78" t="inlineStr">
        <is>
          <t>Ano</t>
        </is>
      </c>
      <c r="B322" s="122" t="n"/>
      <c r="C322" s="79" t="n">
        <v>0</v>
      </c>
      <c r="D322" s="79" t="n">
        <v>1</v>
      </c>
      <c r="E322" s="79" t="n">
        <v>2</v>
      </c>
      <c r="F322" s="79" t="n">
        <v>3</v>
      </c>
      <c r="G322" s="79" t="n">
        <v>4</v>
      </c>
      <c r="H322" s="79" t="n">
        <v>5</v>
      </c>
      <c r="I322" s="79" t="n">
        <v>6</v>
      </c>
      <c r="J322" s="79" t="n">
        <v>7</v>
      </c>
      <c r="K322" s="79" t="n">
        <v>8</v>
      </c>
      <c r="L322" s="79" t="n">
        <v>9</v>
      </c>
      <c r="M322" s="79" t="n">
        <v>10</v>
      </c>
      <c r="N322" s="122" t="n"/>
      <c r="O322" s="122" t="n"/>
      <c r="P322" s="122" t="n"/>
      <c r="Q322" s="122" t="n"/>
      <c r="R322" s="122" t="n"/>
      <c r="S322" s="122" t="n"/>
      <c r="T322" s="122" t="n"/>
      <c r="U322" s="122" t="n"/>
      <c r="V322" s="122" t="n"/>
      <c r="W322" s="122" t="n"/>
      <c r="X322" s="122" t="n"/>
    </row>
    <row r="323">
      <c r="A323" s="71" t="inlineStr">
        <is>
          <t>Volume (un)</t>
        </is>
      </c>
      <c r="B323" s="122" t="n"/>
      <c r="C323" s="76" t="n"/>
      <c r="D323" s="76">
        <f>'2. Inputs'!D11*(1+$C$19)</f>
        <v/>
      </c>
      <c r="E323" s="76">
        <f>'2. Inputs'!E11*(1+$C$19)</f>
        <v/>
      </c>
      <c r="F323" s="76">
        <f>'2. Inputs'!F11*(1+$C$19)</f>
        <v/>
      </c>
      <c r="G323" s="76">
        <f>'2. Inputs'!G11*(1+$C$19)</f>
        <v/>
      </c>
      <c r="H323" s="76">
        <f>'2. Inputs'!H11*(1+$C$19)</f>
        <v/>
      </c>
      <c r="I323" s="76">
        <f>'2. Inputs'!I11*(1+$C$19)</f>
        <v/>
      </c>
      <c r="J323" s="76">
        <f>'2. Inputs'!J11*(1+$C$19)</f>
        <v/>
      </c>
      <c r="K323" s="76">
        <f>'2. Inputs'!K11*(1+$C$19)</f>
        <v/>
      </c>
      <c r="L323" s="76">
        <f>'2. Inputs'!L11*(1+$C$19)</f>
        <v/>
      </c>
      <c r="M323" s="76">
        <f>'2. Inputs'!M11*(1+$C$19)</f>
        <v/>
      </c>
      <c r="N323" s="122" t="n"/>
      <c r="O323" s="122" t="n"/>
      <c r="P323" s="122" t="n"/>
      <c r="Q323" s="122" t="n"/>
      <c r="R323" s="122" t="n"/>
      <c r="S323" s="122" t="n"/>
      <c r="T323" s="122" t="n"/>
      <c r="U323" s="122" t="n"/>
      <c r="V323" s="122" t="n"/>
      <c r="W323" s="122" t="n"/>
      <c r="X323" s="122" t="n"/>
    </row>
    <row r="324">
      <c r="A324" s="71" t="inlineStr">
        <is>
          <t>Frete unitário (R$/un)</t>
        </is>
      </c>
      <c r="B324" s="80">
        <f>('2. Inputs'!D25*'2. Inputs'!$C$96+'2. Inputs'!D26*'2. Inputs'!$C$97+'2. Inputs'!D27*'2. Inputs'!$C$98+'2. Inputs'!D28*'2. Inputs'!$C$99)/'2. Inputs'!$C$100</f>
        <v/>
      </c>
      <c r="C324" s="81" t="n"/>
      <c r="D324" s="81">
        <f>$G$19*'2. Inputs'!D24+(1-$G$19)*$B$324</f>
        <v/>
      </c>
      <c r="E324" s="81">
        <f>$G$19*'2. Inputs'!E24+(1-$G$19)*$B$324</f>
        <v/>
      </c>
      <c r="F324" s="81">
        <f>$G$19*'2. Inputs'!F24+(1-$G$19)*$B$324</f>
        <v/>
      </c>
      <c r="G324" s="81">
        <f>$G$19*'2. Inputs'!G24+(1-$G$19)*$B$324</f>
        <v/>
      </c>
      <c r="H324" s="81">
        <f>$G$19*'2. Inputs'!H24+(1-$G$19)*$B$324</f>
        <v/>
      </c>
      <c r="I324" s="81">
        <f>$G$19*'2. Inputs'!I24+(1-$G$19)*$B$324</f>
        <v/>
      </c>
      <c r="J324" s="81">
        <f>$G$19*'2. Inputs'!J24+(1-$G$19)*$B$324</f>
        <v/>
      </c>
      <c r="K324" s="81">
        <f>$G$19*'2. Inputs'!K24+(1-$G$19)*$B$324</f>
        <v/>
      </c>
      <c r="L324" s="81">
        <f>$G$19*'2. Inputs'!L24+(1-$G$19)*$B$324</f>
        <v/>
      </c>
      <c r="M324" s="81">
        <f>$G$19*'2. Inputs'!M24+(1-$G$19)*$B$324</f>
        <v/>
      </c>
      <c r="N324" s="122" t="n"/>
      <c r="O324" s="2" t="inlineStr">
        <is>
          <t>Coluna B: frete unitário médio fora do Sudeste, nas proporções da origem (Sul 5%, NE 3%, N 2%, CO 10%).</t>
        </is>
      </c>
      <c r="P324" s="122" t="n"/>
      <c r="Q324" s="122" t="n"/>
      <c r="R324" s="122" t="n"/>
      <c r="S324" s="122" t="n"/>
      <c r="T324" s="122" t="n"/>
      <c r="U324" s="122" t="n"/>
      <c r="V324" s="122" t="n"/>
      <c r="W324" s="122" t="n"/>
      <c r="X324" s="122" t="n"/>
    </row>
    <row r="325">
      <c r="A325" s="71" t="inlineStr">
        <is>
          <t>Custo variável unitário (R$/un)</t>
        </is>
      </c>
      <c r="B325" s="122" t="n"/>
      <c r="C325" s="82" t="n"/>
      <c r="D325" s="82">
        <f>'2. Inputs'!D43*(1+$E$19)</f>
        <v/>
      </c>
      <c r="E325" s="82">
        <f>'2. Inputs'!E43*(1+$E$19)</f>
        <v/>
      </c>
      <c r="F325" s="82">
        <f>'2. Inputs'!F43*(1+$E$19)</f>
        <v/>
      </c>
      <c r="G325" s="82">
        <f>'2. Inputs'!G43*(1+$E$19)</f>
        <v/>
      </c>
      <c r="H325" s="82">
        <f>'2. Inputs'!H43*(1+$E$19)</f>
        <v/>
      </c>
      <c r="I325" s="82">
        <f>'2. Inputs'!I43*(1+$E$19)</f>
        <v/>
      </c>
      <c r="J325" s="82">
        <f>'2. Inputs'!J43*(1+$E$19)</f>
        <v/>
      </c>
      <c r="K325" s="82">
        <f>'2. Inputs'!K43*(1+$E$19)</f>
        <v/>
      </c>
      <c r="L325" s="82">
        <f>'2. Inputs'!L43*(1+$E$19)</f>
        <v/>
      </c>
      <c r="M325" s="82">
        <f>'2. Inputs'!M43*(1+$E$19)</f>
        <v/>
      </c>
      <c r="N325" s="122" t="n"/>
      <c r="O325" s="122" t="n"/>
      <c r="P325" s="122" t="n"/>
      <c r="Q325" s="122" t="n"/>
      <c r="R325" s="122" t="n"/>
      <c r="S325" s="122" t="n"/>
      <c r="T325" s="122" t="n"/>
      <c r="U325" s="122" t="n"/>
      <c r="V325" s="122" t="n"/>
      <c r="W325" s="122" t="n"/>
      <c r="X325" s="122" t="n"/>
    </row>
    <row r="326">
      <c r="A326" s="71" t="inlineStr">
        <is>
          <t>Markup total (%)</t>
        </is>
      </c>
      <c r="B326" s="122" t="n"/>
      <c r="C326" s="72" t="n"/>
      <c r="D326" s="72">
        <f>'2. Inputs'!D32+'2. Inputs'!D33+'2. Inputs'!D34+'2. Inputs'!D35+'2. Inputs'!D36+$D$19</f>
        <v/>
      </c>
      <c r="E326" s="72">
        <f>'2. Inputs'!E32+'2. Inputs'!E33+'2. Inputs'!E34+'2. Inputs'!E35+'2. Inputs'!E36+$D$19</f>
        <v/>
      </c>
      <c r="F326" s="72">
        <f>'2. Inputs'!F32+'2. Inputs'!F33+'2. Inputs'!F34+'2. Inputs'!F35+'2. Inputs'!F36+$D$19</f>
        <v/>
      </c>
      <c r="G326" s="72">
        <f>'2. Inputs'!G32+'2. Inputs'!G33+'2. Inputs'!G34+'2. Inputs'!G35+'2. Inputs'!G36+$D$19</f>
        <v/>
      </c>
      <c r="H326" s="72">
        <f>'2. Inputs'!H32+'2. Inputs'!H33+'2. Inputs'!H34+'2. Inputs'!H35+'2. Inputs'!H36+$D$19</f>
        <v/>
      </c>
      <c r="I326" s="72">
        <f>'2. Inputs'!I32+'2. Inputs'!I33+'2. Inputs'!I34+'2. Inputs'!I35+'2. Inputs'!I36+$D$19</f>
        <v/>
      </c>
      <c r="J326" s="72">
        <f>'2. Inputs'!J32+'2. Inputs'!J33+'2. Inputs'!J34+'2. Inputs'!J35+'2. Inputs'!J36+$D$19</f>
        <v/>
      </c>
      <c r="K326" s="72">
        <f>'2. Inputs'!K32+'2. Inputs'!K33+'2. Inputs'!K34+'2. Inputs'!K35+'2. Inputs'!K36+$D$19</f>
        <v/>
      </c>
      <c r="L326" s="72">
        <f>'2. Inputs'!L32+'2. Inputs'!L33+'2. Inputs'!L34+'2. Inputs'!L35+'2. Inputs'!L36+$D$19</f>
        <v/>
      </c>
      <c r="M326" s="72">
        <f>'2. Inputs'!M32+'2. Inputs'!M33+'2. Inputs'!M34+'2. Inputs'!M35+'2. Inputs'!M36+$D$19</f>
        <v/>
      </c>
      <c r="N326" s="122" t="n"/>
      <c r="O326" s="122" t="n"/>
      <c r="P326" s="122" t="n"/>
      <c r="Q326" s="122" t="n"/>
      <c r="R326" s="122" t="n"/>
      <c r="S326" s="122" t="n"/>
      <c r="T326" s="122" t="n"/>
      <c r="U326" s="122" t="n"/>
      <c r="V326" s="122" t="n"/>
      <c r="W326" s="122" t="n"/>
      <c r="X326" s="122" t="n"/>
    </row>
    <row r="327">
      <c r="A327" s="71" t="inlineStr">
        <is>
          <t>Custo variável (R$)</t>
        </is>
      </c>
      <c r="B327" s="122" t="n"/>
      <c r="C327" s="76" t="n"/>
      <c r="D327" s="76">
        <f>D323*D325</f>
        <v/>
      </c>
      <c r="E327" s="76">
        <f>E323*E325</f>
        <v/>
      </c>
      <c r="F327" s="76">
        <f>F323*F325</f>
        <v/>
      </c>
      <c r="G327" s="76">
        <f>G323*G325</f>
        <v/>
      </c>
      <c r="H327" s="76">
        <f>H323*H325</f>
        <v/>
      </c>
      <c r="I327" s="76">
        <f>I323*I325</f>
        <v/>
      </c>
      <c r="J327" s="76">
        <f>J323*J325</f>
        <v/>
      </c>
      <c r="K327" s="76">
        <f>K323*K325</f>
        <v/>
      </c>
      <c r="L327" s="76">
        <f>L323*L325</f>
        <v/>
      </c>
      <c r="M327" s="76">
        <f>M323*M325</f>
        <v/>
      </c>
      <c r="N327" s="122" t="n"/>
      <c r="O327" s="122" t="n"/>
      <c r="P327" s="122" t="n"/>
      <c r="Q327" s="122" t="n"/>
      <c r="R327" s="122" t="n"/>
      <c r="S327" s="122" t="n"/>
      <c r="T327" s="122" t="n"/>
      <c r="U327" s="122" t="n"/>
      <c r="V327" s="122" t="n"/>
      <c r="W327" s="122" t="n"/>
      <c r="X327" s="122" t="n"/>
    </row>
    <row r="328">
      <c r="A328" s="71" t="inlineStr">
        <is>
          <t>Frete (R$)</t>
        </is>
      </c>
      <c r="B328" s="122" t="n"/>
      <c r="C328" s="76" t="n"/>
      <c r="D328" s="76">
        <f>D323*D324</f>
        <v/>
      </c>
      <c r="E328" s="76">
        <f>E323*E324</f>
        <v/>
      </c>
      <c r="F328" s="76">
        <f>F323*F324</f>
        <v/>
      </c>
      <c r="G328" s="76">
        <f>G323*G324</f>
        <v/>
      </c>
      <c r="H328" s="76">
        <f>H323*H324</f>
        <v/>
      </c>
      <c r="I328" s="76">
        <f>I323*I324</f>
        <v/>
      </c>
      <c r="J328" s="76">
        <f>J323*J324</f>
        <v/>
      </c>
      <c r="K328" s="76">
        <f>K323*K324</f>
        <v/>
      </c>
      <c r="L328" s="76">
        <f>L323*L324</f>
        <v/>
      </c>
      <c r="M328" s="76">
        <f>M323*M324</f>
        <v/>
      </c>
      <c r="N328" s="122" t="n"/>
      <c r="O328" s="122" t="n"/>
      <c r="P328" s="122" t="n"/>
      <c r="Q328" s="122" t="n"/>
      <c r="R328" s="122" t="n"/>
      <c r="S328" s="122" t="n"/>
      <c r="T328" s="122" t="n"/>
      <c r="U328" s="122" t="n"/>
      <c r="V328" s="122" t="n"/>
      <c r="W328" s="122" t="n"/>
      <c r="X328" s="122" t="n"/>
    </row>
    <row r="329">
      <c r="A329" s="71" t="inlineStr">
        <is>
          <t>Custo fixo de estrutura (R$)</t>
        </is>
      </c>
      <c r="B329" s="122" t="n"/>
      <c r="C329" s="76" t="n"/>
      <c r="D329" s="76">
        <f>'2. Inputs'!D46</f>
        <v/>
      </c>
      <c r="E329" s="76">
        <f>'2. Inputs'!E46</f>
        <v/>
      </c>
      <c r="F329" s="76">
        <f>'2. Inputs'!F46</f>
        <v/>
      </c>
      <c r="G329" s="76">
        <f>'2. Inputs'!G46</f>
        <v/>
      </c>
      <c r="H329" s="76">
        <f>'2. Inputs'!H46</f>
        <v/>
      </c>
      <c r="I329" s="76">
        <f>'2. Inputs'!I46</f>
        <v/>
      </c>
      <c r="J329" s="76">
        <f>'2. Inputs'!J46</f>
        <v/>
      </c>
      <c r="K329" s="76">
        <f>'2. Inputs'!K46</f>
        <v/>
      </c>
      <c r="L329" s="76">
        <f>'2. Inputs'!L46</f>
        <v/>
      </c>
      <c r="M329" s="76">
        <f>'2. Inputs'!M46</f>
        <v/>
      </c>
      <c r="N329" s="122" t="n"/>
      <c r="O329" s="122" t="n"/>
      <c r="P329" s="122" t="n"/>
      <c r="Q329" s="122" t="n"/>
      <c r="R329" s="122" t="n"/>
      <c r="S329" s="122" t="n"/>
      <c r="T329" s="122" t="n"/>
      <c r="U329" s="122" t="n"/>
      <c r="V329" s="122" t="n"/>
      <c r="W329" s="122" t="n"/>
      <c r="X329" s="122" t="n"/>
    </row>
    <row r="330">
      <c r="A330" s="71" t="inlineStr">
        <is>
          <t>Manutenção e seguro (R$)</t>
        </is>
      </c>
      <c r="B330" s="122" t="n"/>
      <c r="C330" s="76" t="n"/>
      <c r="D330" s="76">
        <f>('2. Inputs'!D47+'2. Inputs'!D48)*'2. Inputs'!D54</f>
        <v/>
      </c>
      <c r="E330" s="76">
        <f>('2. Inputs'!E47+'2. Inputs'!E48)*'2. Inputs'!E54</f>
        <v/>
      </c>
      <c r="F330" s="76">
        <f>('2. Inputs'!F47+'2. Inputs'!F48)*'2. Inputs'!F54</f>
        <v/>
      </c>
      <c r="G330" s="76">
        <f>('2. Inputs'!G47+'2. Inputs'!G48)*'2. Inputs'!G54</f>
        <v/>
      </c>
      <c r="H330" s="76">
        <f>('2. Inputs'!H47+'2. Inputs'!H48)*'2. Inputs'!H54</f>
        <v/>
      </c>
      <c r="I330" s="76">
        <f>('2. Inputs'!I47+'2. Inputs'!I48)*'2. Inputs'!I54</f>
        <v/>
      </c>
      <c r="J330" s="76">
        <f>('2. Inputs'!J47+'2. Inputs'!J48)*'2. Inputs'!J54</f>
        <v/>
      </c>
      <c r="K330" s="76">
        <f>('2. Inputs'!K47+'2. Inputs'!K48)*'2. Inputs'!K54</f>
        <v/>
      </c>
      <c r="L330" s="76">
        <f>('2. Inputs'!L47+'2. Inputs'!L48)*'2. Inputs'!L54</f>
        <v/>
      </c>
      <c r="M330" s="76">
        <f>('2. Inputs'!M47+'2. Inputs'!M48)*'2. Inputs'!M54</f>
        <v/>
      </c>
      <c r="N330" s="122" t="n"/>
      <c r="O330" s="122" t="n"/>
      <c r="P330" s="122" t="n"/>
      <c r="Q330" s="122" t="n"/>
      <c r="R330" s="122" t="n"/>
      <c r="S330" s="122" t="n"/>
      <c r="T330" s="122" t="n"/>
      <c r="U330" s="122" t="n"/>
      <c r="V330" s="122" t="n"/>
      <c r="W330" s="122" t="n"/>
      <c r="X330" s="122" t="n"/>
    </row>
    <row r="331">
      <c r="A331" s="71" t="inlineStr">
        <is>
          <t>Contingência (R$)</t>
        </is>
      </c>
      <c r="B331" s="122" t="n"/>
      <c r="C331" s="76" t="n"/>
      <c r="D331" s="76">
        <f>$F$19*'2. Inputs'!D54</f>
        <v/>
      </c>
      <c r="E331" s="76">
        <f>$F$19*'2. Inputs'!E54</f>
        <v/>
      </c>
      <c r="F331" s="76">
        <f>$F$19*'2. Inputs'!F54</f>
        <v/>
      </c>
      <c r="G331" s="76">
        <f>$F$19*'2. Inputs'!G54</f>
        <v/>
      </c>
      <c r="H331" s="76">
        <f>$F$19*'2. Inputs'!H54</f>
        <v/>
      </c>
      <c r="I331" s="76">
        <f>$F$19*'2. Inputs'!I54</f>
        <v/>
      </c>
      <c r="J331" s="76">
        <f>$F$19*'2. Inputs'!J54</f>
        <v/>
      </c>
      <c r="K331" s="76">
        <f>$F$19*'2. Inputs'!K54</f>
        <v/>
      </c>
      <c r="L331" s="76">
        <f>$F$19*'2. Inputs'!L54</f>
        <v/>
      </c>
      <c r="M331" s="76">
        <f>$F$19*'2. Inputs'!M54</f>
        <v/>
      </c>
      <c r="N331" s="122" t="n"/>
      <c r="O331" s="122" t="n"/>
      <c r="P331" s="122" t="n"/>
      <c r="Q331" s="122" t="n"/>
      <c r="R331" s="122" t="n"/>
      <c r="S331" s="122" t="n"/>
      <c r="T331" s="122" t="n"/>
      <c r="U331" s="122" t="n"/>
      <c r="V331" s="122" t="n"/>
      <c r="W331" s="122" t="n"/>
      <c r="X331" s="122" t="n"/>
    </row>
    <row r="332">
      <c r="A332" s="71" t="inlineStr">
        <is>
          <t>Depreciação (R$)</t>
        </is>
      </c>
      <c r="B332" s="122" t="n"/>
      <c r="C332" s="76" t="n"/>
      <c r="D332" s="76">
        <f>'3. Depreciacao'!D31</f>
        <v/>
      </c>
      <c r="E332" s="76">
        <f>'3. Depreciacao'!E31</f>
        <v/>
      </c>
      <c r="F332" s="76">
        <f>'3. Depreciacao'!F31</f>
        <v/>
      </c>
      <c r="G332" s="76">
        <f>'3. Depreciacao'!G31</f>
        <v/>
      </c>
      <c r="H332" s="76">
        <f>'3. Depreciacao'!H31</f>
        <v/>
      </c>
      <c r="I332" s="76">
        <f>'3. Depreciacao'!I31</f>
        <v/>
      </c>
      <c r="J332" s="76">
        <f>'3. Depreciacao'!J31</f>
        <v/>
      </c>
      <c r="K332" s="76">
        <f>'3. Depreciacao'!K31</f>
        <v/>
      </c>
      <c r="L332" s="76">
        <f>'3. Depreciacao'!L31</f>
        <v/>
      </c>
      <c r="M332" s="76">
        <f>'3. Depreciacao'!M31</f>
        <v/>
      </c>
      <c r="N332" s="122" t="n"/>
      <c r="O332" s="122" t="n"/>
      <c r="P332" s="122" t="n"/>
      <c r="Q332" s="122" t="n"/>
      <c r="R332" s="122" t="n"/>
      <c r="S332" s="122" t="n"/>
      <c r="T332" s="122" t="n"/>
      <c r="U332" s="122" t="n"/>
      <c r="V332" s="122" t="n"/>
      <c r="W332" s="122" t="n"/>
      <c r="X332" s="122" t="n"/>
    </row>
    <row r="333">
      <c r="A333" s="71" t="inlineStr">
        <is>
          <t>Custo total (R$)</t>
        </is>
      </c>
      <c r="B333" s="122" t="n"/>
      <c r="C333" s="76" t="n"/>
      <c r="D333" s="76">
        <f>SUM(D327:D332)</f>
        <v/>
      </c>
      <c r="E333" s="76">
        <f>SUM(E327:E332)</f>
        <v/>
      </c>
      <c r="F333" s="76">
        <f>SUM(F327:F332)</f>
        <v/>
      </c>
      <c r="G333" s="76">
        <f>SUM(G327:G332)</f>
        <v/>
      </c>
      <c r="H333" s="76">
        <f>SUM(H327:H332)</f>
        <v/>
      </c>
      <c r="I333" s="76">
        <f>SUM(I327:I332)</f>
        <v/>
      </c>
      <c r="J333" s="76">
        <f>SUM(J327:J332)</f>
        <v/>
      </c>
      <c r="K333" s="76">
        <f>SUM(K327:K332)</f>
        <v/>
      </c>
      <c r="L333" s="76">
        <f>SUM(L327:L332)</f>
        <v/>
      </c>
      <c r="M333" s="76">
        <f>SUM(M327:M332)</f>
        <v/>
      </c>
      <c r="N333" s="122" t="n"/>
      <c r="O333" s="122" t="n"/>
      <c r="P333" s="122" t="n"/>
      <c r="Q333" s="122" t="n"/>
      <c r="R333" s="122" t="n"/>
      <c r="S333" s="122" t="n"/>
      <c r="T333" s="122" t="n"/>
      <c r="U333" s="122" t="n"/>
      <c r="V333" s="122" t="n"/>
      <c r="W333" s="122" t="n"/>
      <c r="X333" s="122" t="n"/>
    </row>
    <row r="334">
      <c r="A334" s="71" t="inlineStr">
        <is>
          <t>Preço bruto unitário (R$/un)</t>
        </is>
      </c>
      <c r="B334" s="122" t="n"/>
      <c r="C334" s="82" t="n"/>
      <c r="D334" s="82">
        <f>IF('2. Inputs'!$C$38=1,D333/D323/(1-D326),'2. Inputs'!D39)</f>
        <v/>
      </c>
      <c r="E334" s="82">
        <f>IF('2. Inputs'!$C$38=1,E333/E323/(1-E326),'2. Inputs'!E39)</f>
        <v/>
      </c>
      <c r="F334" s="82">
        <f>IF('2. Inputs'!$C$38=1,F333/F323/(1-F326),'2. Inputs'!F39)</f>
        <v/>
      </c>
      <c r="G334" s="82">
        <f>IF('2. Inputs'!$C$38=1,G333/G323/(1-G326),'2. Inputs'!G39)</f>
        <v/>
      </c>
      <c r="H334" s="82">
        <f>IF('2. Inputs'!$C$38=1,H333/H323/(1-H326),'2. Inputs'!H39)</f>
        <v/>
      </c>
      <c r="I334" s="82">
        <f>IF('2. Inputs'!$C$38=1,I333/I323/(1-I326),'2. Inputs'!I39)</f>
        <v/>
      </c>
      <c r="J334" s="82">
        <f>IF('2. Inputs'!$C$38=1,J333/J323/(1-J326),'2. Inputs'!J39)</f>
        <v/>
      </c>
      <c r="K334" s="82">
        <f>IF('2. Inputs'!$C$38=1,K333/K323/(1-K326),'2. Inputs'!K39)</f>
        <v/>
      </c>
      <c r="L334" s="82">
        <f>IF('2. Inputs'!$C$38=1,L333/L323/(1-L326),'2. Inputs'!L39)</f>
        <v/>
      </c>
      <c r="M334" s="82">
        <f>IF('2. Inputs'!$C$38=1,M333/M323/(1-M326),'2. Inputs'!M39)</f>
        <v/>
      </c>
      <c r="N334" s="122" t="n"/>
      <c r="O334" s="122" t="n"/>
      <c r="P334" s="122" t="n"/>
      <c r="Q334" s="122" t="n"/>
      <c r="R334" s="122" t="n"/>
      <c r="S334" s="122" t="n"/>
      <c r="T334" s="122" t="n"/>
      <c r="U334" s="122" t="n"/>
      <c r="V334" s="122" t="n"/>
      <c r="W334" s="122" t="n"/>
      <c r="X334" s="122" t="n"/>
    </row>
    <row r="335">
      <c r="A335" s="71" t="inlineStr">
        <is>
          <t>Receita bruta (R$)</t>
        </is>
      </c>
      <c r="B335" s="122" t="n"/>
      <c r="C335" s="76" t="n"/>
      <c r="D335" s="76">
        <f>D323*D334</f>
        <v/>
      </c>
      <c r="E335" s="76">
        <f>E323*E334</f>
        <v/>
      </c>
      <c r="F335" s="76">
        <f>F323*F334</f>
        <v/>
      </c>
      <c r="G335" s="76">
        <f>G323*G334</f>
        <v/>
      </c>
      <c r="H335" s="76">
        <f>H323*H334</f>
        <v/>
      </c>
      <c r="I335" s="76">
        <f>I323*I334</f>
        <v/>
      </c>
      <c r="J335" s="76">
        <f>J323*J334</f>
        <v/>
      </c>
      <c r="K335" s="76">
        <f>K323*K334</f>
        <v/>
      </c>
      <c r="L335" s="76">
        <f>L323*L334</f>
        <v/>
      </c>
      <c r="M335" s="76">
        <f>M323*M334</f>
        <v/>
      </c>
      <c r="N335" s="122" t="n"/>
      <c r="O335" s="122" t="n"/>
      <c r="P335" s="122" t="n"/>
      <c r="Q335" s="122" t="n"/>
      <c r="R335" s="122" t="n"/>
      <c r="S335" s="122" t="n"/>
      <c r="T335" s="122" t="n"/>
      <c r="U335" s="122" t="n"/>
      <c r="V335" s="122" t="n"/>
      <c r="W335" s="122" t="n"/>
      <c r="X335" s="122" t="n"/>
    </row>
    <row r="336">
      <c r="A336" s="71" t="inlineStr">
        <is>
          <t>Comissão (R$)</t>
        </is>
      </c>
      <c r="B336" s="122" t="n"/>
      <c r="C336" s="76" t="n"/>
      <c r="D336" s="76">
        <f>'2. Inputs'!D35*D335</f>
        <v/>
      </c>
      <c r="E336" s="76">
        <f>'2. Inputs'!E35*E335</f>
        <v/>
      </c>
      <c r="F336" s="76">
        <f>'2. Inputs'!F35*F335</f>
        <v/>
      </c>
      <c r="G336" s="76">
        <f>'2. Inputs'!G35*G335</f>
        <v/>
      </c>
      <c r="H336" s="76">
        <f>'2. Inputs'!H35*H335</f>
        <v/>
      </c>
      <c r="I336" s="76">
        <f>'2. Inputs'!I35*I335</f>
        <v/>
      </c>
      <c r="J336" s="76">
        <f>'2. Inputs'!J35*J335</f>
        <v/>
      </c>
      <c r="K336" s="76">
        <f>'2. Inputs'!K35*K335</f>
        <v/>
      </c>
      <c r="L336" s="76">
        <f>'2. Inputs'!L35*L335</f>
        <v/>
      </c>
      <c r="M336" s="76">
        <f>'2. Inputs'!M35*M335</f>
        <v/>
      </c>
      <c r="N336" s="122" t="n"/>
      <c r="O336" s="122" t="n"/>
      <c r="P336" s="122" t="n"/>
      <c r="Q336" s="122" t="n"/>
      <c r="R336" s="122" t="n"/>
      <c r="S336" s="122" t="n"/>
      <c r="T336" s="122" t="n"/>
      <c r="U336" s="122" t="n"/>
      <c r="V336" s="122" t="n"/>
      <c r="W336" s="122" t="n"/>
      <c r="X336" s="122" t="n"/>
    </row>
    <row r="337">
      <c r="A337" s="71" t="inlineStr">
        <is>
          <t>Receita líquida (R$)</t>
        </is>
      </c>
      <c r="B337" s="122" t="n"/>
      <c r="C337" s="76" t="n"/>
      <c r="D337" s="76">
        <f>D335*(1-'2. Inputs'!D32-'2. Inputs'!D33-'2. Inputs'!D34)</f>
        <v/>
      </c>
      <c r="E337" s="76">
        <f>E335*(1-'2. Inputs'!E32-'2. Inputs'!E33-'2. Inputs'!E34)</f>
        <v/>
      </c>
      <c r="F337" s="76">
        <f>F335*(1-'2. Inputs'!F32-'2. Inputs'!F33-'2. Inputs'!F34)</f>
        <v/>
      </c>
      <c r="G337" s="76">
        <f>G335*(1-'2. Inputs'!G32-'2. Inputs'!G33-'2. Inputs'!G34)</f>
        <v/>
      </c>
      <c r="H337" s="76">
        <f>H335*(1-'2. Inputs'!H32-'2. Inputs'!H33-'2. Inputs'!H34)</f>
        <v/>
      </c>
      <c r="I337" s="76">
        <f>I335*(1-'2. Inputs'!I32-'2. Inputs'!I33-'2. Inputs'!I34)</f>
        <v/>
      </c>
      <c r="J337" s="76">
        <f>J335*(1-'2. Inputs'!J32-'2. Inputs'!J33-'2. Inputs'!J34)</f>
        <v/>
      </c>
      <c r="K337" s="76">
        <f>K335*(1-'2. Inputs'!K32-'2. Inputs'!K33-'2. Inputs'!K34)</f>
        <v/>
      </c>
      <c r="L337" s="76">
        <f>L335*(1-'2. Inputs'!L32-'2. Inputs'!L33-'2. Inputs'!L34)</f>
        <v/>
      </c>
      <c r="M337" s="76">
        <f>M335*(1-'2. Inputs'!M32-'2. Inputs'!M33-'2. Inputs'!M34)</f>
        <v/>
      </c>
      <c r="N337" s="122" t="n"/>
      <c r="O337" s="122" t="n"/>
      <c r="P337" s="122" t="n"/>
      <c r="Q337" s="122" t="n"/>
      <c r="R337" s="122" t="n"/>
      <c r="S337" s="122" t="n"/>
      <c r="T337" s="122" t="n"/>
      <c r="U337" s="122" t="n"/>
      <c r="V337" s="122" t="n"/>
      <c r="W337" s="122" t="n"/>
      <c r="X337" s="122" t="n"/>
    </row>
    <row r="338">
      <c r="A338" s="71" t="inlineStr">
        <is>
          <t>EBITDA (R$)</t>
        </is>
      </c>
      <c r="B338" s="122" t="n"/>
      <c r="C338" s="76" t="n"/>
      <c r="D338" s="76">
        <f>D337-D327-D328-D336-D329-D330-D331</f>
        <v/>
      </c>
      <c r="E338" s="76">
        <f>E337-E327-E328-E336-E329-E330-E331</f>
        <v/>
      </c>
      <c r="F338" s="76">
        <f>F337-F327-F328-F336-F329-F330-F331</f>
        <v/>
      </c>
      <c r="G338" s="76">
        <f>G337-G327-G328-G336-G329-G330-G331</f>
        <v/>
      </c>
      <c r="H338" s="76">
        <f>H337-H327-H328-H336-H329-H330-H331</f>
        <v/>
      </c>
      <c r="I338" s="76">
        <f>I337-I327-I328-I336-I329-I330-I331</f>
        <v/>
      </c>
      <c r="J338" s="76">
        <f>J337-J327-J328-J336-J329-J330-J331</f>
        <v/>
      </c>
      <c r="K338" s="76">
        <f>K337-K327-K328-K336-K329-K330-K331</f>
        <v/>
      </c>
      <c r="L338" s="76">
        <f>L337-L327-L328-L336-L329-L330-L331</f>
        <v/>
      </c>
      <c r="M338" s="76">
        <f>M337-M327-M328-M336-M329-M330-M331</f>
        <v/>
      </c>
      <c r="N338" s="122" t="n"/>
      <c r="O338" s="122" t="n"/>
      <c r="P338" s="122" t="n"/>
      <c r="Q338" s="122" t="n"/>
      <c r="R338" s="122" t="n"/>
      <c r="S338" s="122" t="n"/>
      <c r="T338" s="122" t="n"/>
      <c r="U338" s="122" t="n"/>
      <c r="V338" s="122" t="n"/>
      <c r="W338" s="122" t="n"/>
      <c r="X338" s="122" t="n"/>
    </row>
    <row r="339">
      <c r="A339" s="71" t="inlineStr">
        <is>
          <t>EBIT (R$)</t>
        </is>
      </c>
      <c r="B339" s="122" t="n"/>
      <c r="C339" s="76" t="n"/>
      <c r="D339" s="76">
        <f>D338-D332</f>
        <v/>
      </c>
      <c r="E339" s="76">
        <f>E338-E332</f>
        <v/>
      </c>
      <c r="F339" s="76">
        <f>F338-F332</f>
        <v/>
      </c>
      <c r="G339" s="76">
        <f>G338-G332</f>
        <v/>
      </c>
      <c r="H339" s="76">
        <f>H338-H332</f>
        <v/>
      </c>
      <c r="I339" s="76">
        <f>I338-I332</f>
        <v/>
      </c>
      <c r="J339" s="76">
        <f>J338-J332</f>
        <v/>
      </c>
      <c r="K339" s="76">
        <f>K338-K332</f>
        <v/>
      </c>
      <c r="L339" s="76">
        <f>L338-L332</f>
        <v/>
      </c>
      <c r="M339" s="76">
        <f>M338-M332</f>
        <v/>
      </c>
      <c r="N339" s="122" t="n"/>
      <c r="O339" s="122" t="n"/>
      <c r="P339" s="122" t="n"/>
      <c r="Q339" s="122" t="n"/>
      <c r="R339" s="122" t="n"/>
      <c r="S339" s="122" t="n"/>
      <c r="T339" s="122" t="n"/>
      <c r="U339" s="122" t="n"/>
      <c r="V339" s="122" t="n"/>
      <c r="W339" s="122" t="n"/>
      <c r="X339" s="122" t="n"/>
    </row>
    <row r="340">
      <c r="A340" s="71" t="inlineStr">
        <is>
          <t>IRPJ + adicional + CSLL (R$)</t>
        </is>
      </c>
      <c r="B340" s="122" t="n"/>
      <c r="C340" s="76" t="n"/>
      <c r="D340" s="76">
        <f>IF(D339&gt;0,'2. Inputs'!D58*D339+'2. Inputs'!D59*MAX(0,D339-'2. Inputs'!D60)+'2. Inputs'!D61*D339,0)</f>
        <v/>
      </c>
      <c r="E340" s="76">
        <f>IF(E339&gt;0,'2. Inputs'!E58*E339+'2. Inputs'!E59*MAX(0,E339-'2. Inputs'!E60)+'2. Inputs'!E61*E339,0)</f>
        <v/>
      </c>
      <c r="F340" s="76">
        <f>IF(F339&gt;0,'2. Inputs'!F58*F339+'2. Inputs'!F59*MAX(0,F339-'2. Inputs'!F60)+'2. Inputs'!F61*F339,0)</f>
        <v/>
      </c>
      <c r="G340" s="76">
        <f>IF(G339&gt;0,'2. Inputs'!G58*G339+'2. Inputs'!G59*MAX(0,G339-'2. Inputs'!G60)+'2. Inputs'!G61*G339,0)</f>
        <v/>
      </c>
      <c r="H340" s="76">
        <f>IF(H339&gt;0,'2. Inputs'!H58*H339+'2. Inputs'!H59*MAX(0,H339-'2. Inputs'!H60)+'2. Inputs'!H61*H339,0)</f>
        <v/>
      </c>
      <c r="I340" s="76">
        <f>IF(I339&gt;0,'2. Inputs'!I58*I339+'2. Inputs'!I59*MAX(0,I339-'2. Inputs'!I60)+'2. Inputs'!I61*I339,0)</f>
        <v/>
      </c>
      <c r="J340" s="76">
        <f>IF(J339&gt;0,'2. Inputs'!J58*J339+'2. Inputs'!J59*MAX(0,J339-'2. Inputs'!J60)+'2. Inputs'!J61*J339,0)</f>
        <v/>
      </c>
      <c r="K340" s="76">
        <f>IF(K339&gt;0,'2. Inputs'!K58*K339+'2. Inputs'!K59*MAX(0,K339-'2. Inputs'!K60)+'2. Inputs'!K61*K339,0)</f>
        <v/>
      </c>
      <c r="L340" s="76">
        <f>IF(L339&gt;0,'2. Inputs'!L58*L339+'2. Inputs'!L59*MAX(0,L339-'2. Inputs'!L60)+'2. Inputs'!L61*L339,0)</f>
        <v/>
      </c>
      <c r="M340" s="76">
        <f>IF(M339&gt;0,'2. Inputs'!M58*M339+'2. Inputs'!M59*MAX(0,M339-'2. Inputs'!M60)+'2. Inputs'!M61*M339,0)</f>
        <v/>
      </c>
      <c r="N340" s="122" t="n"/>
      <c r="O340" s="122" t="n"/>
      <c r="P340" s="122" t="n"/>
      <c r="Q340" s="122" t="n"/>
      <c r="R340" s="122" t="n"/>
      <c r="S340" s="122" t="n"/>
      <c r="T340" s="122" t="n"/>
      <c r="U340" s="122" t="n"/>
      <c r="V340" s="122" t="n"/>
      <c r="W340" s="122" t="n"/>
      <c r="X340" s="122" t="n"/>
    </row>
    <row r="341">
      <c r="A341" s="71" t="inlineStr">
        <is>
          <t>NOPAT (R$)</t>
        </is>
      </c>
      <c r="B341" s="122" t="n"/>
      <c r="C341" s="76" t="n"/>
      <c r="D341" s="76">
        <f>D339-D340</f>
        <v/>
      </c>
      <c r="E341" s="76">
        <f>E339-E340</f>
        <v/>
      </c>
      <c r="F341" s="76">
        <f>F339-F340</f>
        <v/>
      </c>
      <c r="G341" s="76">
        <f>G339-G340</f>
        <v/>
      </c>
      <c r="H341" s="76">
        <f>H339-H340</f>
        <v/>
      </c>
      <c r="I341" s="76">
        <f>I339-I340</f>
        <v/>
      </c>
      <c r="J341" s="76">
        <f>J339-J340</f>
        <v/>
      </c>
      <c r="K341" s="76">
        <f>K339-K340</f>
        <v/>
      </c>
      <c r="L341" s="76">
        <f>L339-L340</f>
        <v/>
      </c>
      <c r="M341" s="76">
        <f>M339-M340</f>
        <v/>
      </c>
      <c r="N341" s="122" t="n"/>
      <c r="O341" s="122" t="n"/>
      <c r="P341" s="122" t="n"/>
      <c r="Q341" s="122" t="n"/>
      <c r="R341" s="122" t="n"/>
      <c r="S341" s="122" t="n"/>
      <c r="T341" s="122" t="n"/>
      <c r="U341" s="122" t="n"/>
      <c r="V341" s="122" t="n"/>
      <c r="W341" s="122" t="n"/>
      <c r="X341" s="122" t="n"/>
    </row>
    <row r="342">
      <c r="A342" s="71" t="inlineStr">
        <is>
          <t>Capital de giro (R$)</t>
        </is>
      </c>
      <c r="B342" s="122" t="n"/>
      <c r="C342" s="76">
        <f>D342</f>
        <v/>
      </c>
      <c r="D342" s="76">
        <f>'2. Inputs'!D64/'2. Inputs'!D68*D335+'2. Inputs'!D65/'2. Inputs'!D68*(D327+D328)+'2. Inputs'!D67/'2. Inputs'!D68*(D327+D328+D336+D329+D330+D331)-'2. Inputs'!D66/'2. Inputs'!D68*(D327+D328)</f>
        <v/>
      </c>
      <c r="E342" s="76">
        <f>'2. Inputs'!E64/'2. Inputs'!E68*E335+'2. Inputs'!E65/'2. Inputs'!E68*(E327+E328)+'2. Inputs'!E67/'2. Inputs'!E68*(E327+E328+E336+E329+E330+E331)-'2. Inputs'!E66/'2. Inputs'!E68*(E327+E328)</f>
        <v/>
      </c>
      <c r="F342" s="76">
        <f>'2. Inputs'!F64/'2. Inputs'!F68*F335+'2. Inputs'!F65/'2. Inputs'!F68*(F327+F328)+'2. Inputs'!F67/'2. Inputs'!F68*(F327+F328+F336+F329+F330+F331)-'2. Inputs'!F66/'2. Inputs'!F68*(F327+F328)</f>
        <v/>
      </c>
      <c r="G342" s="76">
        <f>'2. Inputs'!G64/'2. Inputs'!G68*G335+'2. Inputs'!G65/'2. Inputs'!G68*(G327+G328)+'2. Inputs'!G67/'2. Inputs'!G68*(G327+G328+G336+G329+G330+G331)-'2. Inputs'!G66/'2. Inputs'!G68*(G327+G328)</f>
        <v/>
      </c>
      <c r="H342" s="76">
        <f>'2. Inputs'!H64/'2. Inputs'!H68*H335+'2. Inputs'!H65/'2. Inputs'!H68*(H327+H328)+'2. Inputs'!H67/'2. Inputs'!H68*(H327+H328+H336+H329+H330+H331)-'2. Inputs'!H66/'2. Inputs'!H68*(H327+H328)</f>
        <v/>
      </c>
      <c r="I342" s="76">
        <f>'2. Inputs'!I64/'2. Inputs'!I68*I335+'2. Inputs'!I65/'2. Inputs'!I68*(I327+I328)+'2. Inputs'!I67/'2. Inputs'!I68*(I327+I328+I336+I329+I330+I331)-'2. Inputs'!I66/'2. Inputs'!I68*(I327+I328)</f>
        <v/>
      </c>
      <c r="J342" s="76">
        <f>'2. Inputs'!J64/'2. Inputs'!J68*J335+'2. Inputs'!J65/'2. Inputs'!J68*(J327+J328)+'2. Inputs'!J67/'2. Inputs'!J68*(J327+J328+J336+J329+J330+J331)-'2. Inputs'!J66/'2. Inputs'!J68*(J327+J328)</f>
        <v/>
      </c>
      <c r="K342" s="76">
        <f>'2. Inputs'!K64/'2. Inputs'!K68*K335+'2. Inputs'!K65/'2. Inputs'!K68*(K327+K328)+'2. Inputs'!K67/'2. Inputs'!K68*(K327+K328+K336+K329+K330+K331)-'2. Inputs'!K66/'2. Inputs'!K68*(K327+K328)</f>
        <v/>
      </c>
      <c r="L342" s="76">
        <f>'2. Inputs'!L64/'2. Inputs'!L68*L335+'2. Inputs'!L65/'2. Inputs'!L68*(L327+L328)+'2. Inputs'!L67/'2. Inputs'!L68*(L327+L328+L336+L329+L330+L331)-'2. Inputs'!L66/'2. Inputs'!L68*(L327+L328)</f>
        <v/>
      </c>
      <c r="M342" s="76">
        <f>'2. Inputs'!M64/'2. Inputs'!M68*M335+'2. Inputs'!M65/'2. Inputs'!M68*(M327+M328)+'2. Inputs'!M67/'2. Inputs'!M68*(M327+M328+M336+M329+M330+M331)-'2. Inputs'!M66/'2. Inputs'!M68*(M327+M328)</f>
        <v/>
      </c>
      <c r="N342" s="122" t="n"/>
      <c r="O342" s="122" t="n"/>
      <c r="P342" s="122" t="n"/>
      <c r="Q342" s="122" t="n"/>
      <c r="R342" s="122" t="n"/>
      <c r="S342" s="122" t="n"/>
      <c r="T342" s="122" t="n"/>
      <c r="U342" s="122" t="n"/>
      <c r="V342" s="122" t="n"/>
      <c r="W342" s="122" t="n"/>
      <c r="X342" s="122" t="n"/>
    </row>
    <row r="343">
      <c r="A343" s="71" t="inlineStr">
        <is>
          <t>Δ capital de giro (R$)</t>
        </is>
      </c>
      <c r="B343" s="122" t="n"/>
      <c r="C343" s="76">
        <f>C342</f>
        <v/>
      </c>
      <c r="D343" s="76">
        <f>D342-C342</f>
        <v/>
      </c>
      <c r="E343" s="76">
        <f>E342-D342</f>
        <v/>
      </c>
      <c r="F343" s="76">
        <f>F342-E342</f>
        <v/>
      </c>
      <c r="G343" s="76">
        <f>G342-F342</f>
        <v/>
      </c>
      <c r="H343" s="76">
        <f>H342-G342</f>
        <v/>
      </c>
      <c r="I343" s="76">
        <f>I342-H342</f>
        <v/>
      </c>
      <c r="J343" s="76">
        <f>J342-I342</f>
        <v/>
      </c>
      <c r="K343" s="76">
        <f>K342-J342</f>
        <v/>
      </c>
      <c r="L343" s="76">
        <f>L342-K342</f>
        <v/>
      </c>
      <c r="M343" s="76">
        <f>M342-L342</f>
        <v/>
      </c>
      <c r="N343" s="122" t="n"/>
      <c r="O343" s="122" t="n"/>
      <c r="P343" s="122" t="n"/>
      <c r="Q343" s="122" t="n"/>
      <c r="R343" s="122" t="n"/>
      <c r="S343" s="122" t="n"/>
      <c r="T343" s="122" t="n"/>
      <c r="U343" s="122" t="n"/>
      <c r="V343" s="122" t="n"/>
      <c r="W343" s="122" t="n"/>
      <c r="X343" s="122" t="n"/>
    </row>
    <row r="344">
      <c r="A344" s="71" t="inlineStr">
        <is>
          <t>Fluxo de caixa livre (R$)</t>
        </is>
      </c>
      <c r="B344" s="122" t="n"/>
      <c r="C344" s="83">
        <f>-C343-'2. Inputs'!C53</f>
        <v/>
      </c>
      <c r="D344" s="83">
        <f>D341+D332-D343-'2. Inputs'!D53+IF(D$322=10,D342,0)</f>
        <v/>
      </c>
      <c r="E344" s="83">
        <f>E341+E332-E343-'2. Inputs'!E53+IF(E$322=10,E342,0)</f>
        <v/>
      </c>
      <c r="F344" s="83">
        <f>F341+F332-F343-'2. Inputs'!F53+IF(F$322=10,F342,0)</f>
        <v/>
      </c>
      <c r="G344" s="83">
        <f>G341+G332-G343-'2. Inputs'!G53+IF(G$322=10,G342,0)</f>
        <v/>
      </c>
      <c r="H344" s="83">
        <f>H341+H332-H343-'2. Inputs'!H53+IF(H$322=10,H342,0)</f>
        <v/>
      </c>
      <c r="I344" s="83">
        <f>I341+I332-I343-'2. Inputs'!I53+IF(I$322=10,I342,0)</f>
        <v/>
      </c>
      <c r="J344" s="83">
        <f>J341+J332-J343-'2. Inputs'!J53+IF(J$322=10,J342,0)</f>
        <v/>
      </c>
      <c r="K344" s="83">
        <f>K341+K332-K343-'2. Inputs'!K53+IF(K$322=10,K342,0)</f>
        <v/>
      </c>
      <c r="L344" s="83">
        <f>L341+L332-L343-'2. Inputs'!L53+IF(L$322=10,L342,0)</f>
        <v/>
      </c>
      <c r="M344" s="83">
        <f>M341+M332-M343-'2. Inputs'!M53+IF(M$322=10,M342,0)</f>
        <v/>
      </c>
      <c r="N344" s="84">
        <f>C344/(1+'2. Inputs'!$C$81)^C322</f>
        <v/>
      </c>
      <c r="O344" s="84">
        <f>N344+D344/(1+'2. Inputs'!$C$81)^D322</f>
        <v/>
      </c>
      <c r="P344" s="84">
        <f>O344+E344/(1+'2. Inputs'!$C$81)^E322</f>
        <v/>
      </c>
      <c r="Q344" s="84">
        <f>P344+F344/(1+'2. Inputs'!$C$81)^F322</f>
        <v/>
      </c>
      <c r="R344" s="84">
        <f>Q344+G344/(1+'2. Inputs'!$C$81)^G322</f>
        <v/>
      </c>
      <c r="S344" s="84">
        <f>R344+H344/(1+'2. Inputs'!$C$81)^H322</f>
        <v/>
      </c>
      <c r="T344" s="84">
        <f>S344+I344/(1+'2. Inputs'!$C$81)^I322</f>
        <v/>
      </c>
      <c r="U344" s="84">
        <f>T344+J344/(1+'2. Inputs'!$C$81)^J322</f>
        <v/>
      </c>
      <c r="V344" s="84">
        <f>U344+K344/(1+'2. Inputs'!$C$81)^K322</f>
        <v/>
      </c>
      <c r="W344" s="84">
        <f>V344+L344/(1+'2. Inputs'!$C$81)^L322</f>
        <v/>
      </c>
      <c r="X344" s="84">
        <f>W344+M344/(1+'2. Inputs'!$C$81)^M322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O51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5" max="15"/>
  </cols>
  <sheetData>
    <row r="1">
      <c r="A1" s="1" t="inlineStr">
        <is>
          <t>PONTE DE VARIÂNCIA DO EBITDA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</row>
    <row r="2">
      <c r="A2" s="2" t="inlineStr">
        <is>
          <t>Volume · Preço · Mix · Custo variável · Custo fixo, nessa ordem, fechando exatamente no ΔEBITDA. A origem não tinha EBITDA para decompor.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2" t="n"/>
      <c r="O3" s="122" t="n"/>
    </row>
    <row r="4">
      <c r="A4" s="122" t="n"/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</row>
    <row r="5">
      <c r="A5" s="122" t="n"/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</row>
    <row r="6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2" t="n"/>
      <c r="O6" s="122" t="n"/>
    </row>
    <row r="7">
      <c r="A7" s="10" t="inlineStr">
        <is>
          <t>Ano</t>
        </is>
      </c>
      <c r="B7" s="122" t="n"/>
      <c r="C7" s="11" t="n">
        <v>0</v>
      </c>
      <c r="D7" s="11" t="n">
        <v>1</v>
      </c>
      <c r="E7" s="11" t="n">
        <v>2</v>
      </c>
      <c r="F7" s="11" t="n">
        <v>3</v>
      </c>
      <c r="G7" s="11" t="n">
        <v>4</v>
      </c>
      <c r="H7" s="11" t="n">
        <v>5</v>
      </c>
      <c r="I7" s="11" t="n">
        <v>6</v>
      </c>
      <c r="J7" s="11" t="n">
        <v>7</v>
      </c>
      <c r="K7" s="11" t="n">
        <v>8</v>
      </c>
      <c r="L7" s="11" t="n">
        <v>9</v>
      </c>
      <c r="M7" s="11" t="n">
        <v>10</v>
      </c>
      <c r="N7" s="122" t="n"/>
      <c r="O7" s="3" t="inlineStr">
        <is>
          <t>Observação</t>
        </is>
      </c>
    </row>
    <row r="8">
      <c r="A8" s="12" t="inlineStr">
        <is>
          <t>Exercício</t>
        </is>
      </c>
      <c r="B8" s="125" t="n"/>
      <c r="C8" s="14" t="inlineStr">
        <is>
          <t>2023</t>
        </is>
      </c>
      <c r="D8" s="14" t="inlineStr">
        <is>
          <t>2024</t>
        </is>
      </c>
      <c r="E8" s="14" t="inlineStr">
        <is>
          <t>2025</t>
        </is>
      </c>
      <c r="F8" s="14" t="inlineStr">
        <is>
          <t>2026</t>
        </is>
      </c>
      <c r="G8" s="14" t="inlineStr">
        <is>
          <t>2027</t>
        </is>
      </c>
      <c r="H8" s="14" t="inlineStr">
        <is>
          <t>2028</t>
        </is>
      </c>
      <c r="I8" s="14" t="inlineStr">
        <is>
          <t>2029</t>
        </is>
      </c>
      <c r="J8" s="14" t="inlineStr">
        <is>
          <t>2030</t>
        </is>
      </c>
      <c r="K8" s="14" t="inlineStr">
        <is>
          <t>2031</t>
        </is>
      </c>
      <c r="L8" s="14" t="inlineStr">
        <is>
          <t>2032</t>
        </is>
      </c>
      <c r="M8" s="14" t="inlineStr">
        <is>
          <t>2033</t>
        </is>
      </c>
      <c r="N8" s="122" t="n"/>
      <c r="O8" s="122" t="n"/>
    </row>
    <row r="9">
      <c r="A9" s="122" t="n"/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</row>
    <row r="10">
      <c r="A10" s="15" t="inlineStr">
        <is>
          <t>A. PONTE ANO A ANO  (cada ano contra o anterior)</t>
        </is>
      </c>
      <c r="B10" s="126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2" t="n"/>
      <c r="O10" s="122" t="n"/>
    </row>
    <row r="11">
      <c r="A11" s="17" t="inlineStr">
        <is>
          <t>EBITDA do ano anterior</t>
        </is>
      </c>
      <c r="B11" s="2" t="inlineStr">
        <is>
          <t>R$</t>
        </is>
      </c>
      <c r="C11" s="122" t="n"/>
      <c r="D11" s="122" t="n"/>
      <c r="E11" s="18">
        <f>'4. DRE'!D39</f>
        <v/>
      </c>
      <c r="F11" s="18">
        <f>'4. DRE'!E39</f>
        <v/>
      </c>
      <c r="G11" s="18">
        <f>'4. DRE'!F39</f>
        <v/>
      </c>
      <c r="H11" s="18">
        <f>'4. DRE'!G39</f>
        <v/>
      </c>
      <c r="I11" s="18">
        <f>'4. DRE'!H39</f>
        <v/>
      </c>
      <c r="J11" s="18">
        <f>'4. DRE'!I39</f>
        <v/>
      </c>
      <c r="K11" s="18">
        <f>'4. DRE'!J39</f>
        <v/>
      </c>
      <c r="L11" s="18">
        <f>'4. DRE'!K39</f>
        <v/>
      </c>
      <c r="M11" s="18">
        <f>'4. DRE'!L39</f>
        <v/>
      </c>
      <c r="N11" s="122" t="n"/>
      <c r="O11" s="122" t="n"/>
    </row>
    <row r="12">
      <c r="A12" s="17" t="inlineStr">
        <is>
          <t>Efeito VOLUME</t>
        </is>
      </c>
      <c r="B12" s="2" t="inlineStr">
        <is>
          <t>R$</t>
        </is>
      </c>
      <c r="C12" s="122" t="n"/>
      <c r="D12" s="122" t="n"/>
      <c r="E12" s="38">
        <f>('4. DRE'!E24-'4. DRE'!D24)*'4. DRE'!D55</f>
        <v/>
      </c>
      <c r="F12" s="38">
        <f>('4. DRE'!F24-'4. DRE'!E24)*'4. DRE'!E55</f>
        <v/>
      </c>
      <c r="G12" s="38">
        <f>('4. DRE'!G24-'4. DRE'!F24)*'4. DRE'!F55</f>
        <v/>
      </c>
      <c r="H12" s="38">
        <f>('4. DRE'!H24-'4. DRE'!G24)*'4. DRE'!G55</f>
        <v/>
      </c>
      <c r="I12" s="38">
        <f>('4. DRE'!I24-'4. DRE'!H24)*'4. DRE'!H55</f>
        <v/>
      </c>
      <c r="J12" s="38">
        <f>('4. DRE'!J24-'4. DRE'!I24)*'4. DRE'!I55</f>
        <v/>
      </c>
      <c r="K12" s="38">
        <f>('4. DRE'!K24-'4. DRE'!J24)*'4. DRE'!J55</f>
        <v/>
      </c>
      <c r="L12" s="38">
        <f>('4. DRE'!L24-'4. DRE'!K24)*'4. DRE'!K55</f>
        <v/>
      </c>
      <c r="M12" s="38">
        <f>('4. DRE'!M24-'4. DRE'!L24)*'4. DRE'!L55</f>
        <v/>
      </c>
      <c r="N12" s="122" t="n"/>
      <c r="O12" s="2" t="inlineStr">
        <is>
          <t>Cálculo: (volume do ano − volume anterior) x margem de contribuição unitária ANTERIOR.</t>
        </is>
      </c>
    </row>
    <row r="13">
      <c r="A13" s="17" t="inlineStr">
        <is>
          <t>Efeito PREÇO</t>
        </is>
      </c>
      <c r="B13" s="2" t="inlineStr">
        <is>
          <t>R$</t>
        </is>
      </c>
      <c r="C13" s="122" t="n"/>
      <c r="D13" s="122" t="n"/>
      <c r="E13" s="38">
        <f>'4. DRE'!E24*(('4. DRE'!E51-'4. DRE'!E52)-('4. DRE'!D51-'4. DRE'!D52))</f>
        <v/>
      </c>
      <c r="F13" s="38">
        <f>'4. DRE'!F24*(('4. DRE'!F51-'4. DRE'!F52)-('4. DRE'!E51-'4. DRE'!E52))</f>
        <v/>
      </c>
      <c r="G13" s="38">
        <f>'4. DRE'!G24*(('4. DRE'!G51-'4. DRE'!G52)-('4. DRE'!F51-'4. DRE'!F52))</f>
        <v/>
      </c>
      <c r="H13" s="38">
        <f>'4. DRE'!H24*(('4. DRE'!H51-'4. DRE'!H52)-('4. DRE'!G51-'4. DRE'!G52))</f>
        <v/>
      </c>
      <c r="I13" s="38">
        <f>'4. DRE'!I24*(('4. DRE'!I51-'4. DRE'!I52)-('4. DRE'!H51-'4. DRE'!H52))</f>
        <v/>
      </c>
      <c r="J13" s="38">
        <f>'4. DRE'!J24*(('4. DRE'!J51-'4. DRE'!J52)-('4. DRE'!I51-'4. DRE'!I52))</f>
        <v/>
      </c>
      <c r="K13" s="38">
        <f>'4. DRE'!K24*(('4. DRE'!K51-'4. DRE'!K52)-('4. DRE'!J51-'4. DRE'!J52))</f>
        <v/>
      </c>
      <c r="L13" s="38">
        <f>'4. DRE'!L24*(('4. DRE'!L51-'4. DRE'!L52)-('4. DRE'!K51-'4. DRE'!K52))</f>
        <v/>
      </c>
      <c r="M13" s="38">
        <f>'4. DRE'!M24*(('4. DRE'!M51-'4. DRE'!M52)-('4. DRE'!L51-'4. DRE'!L52))</f>
        <v/>
      </c>
      <c r="N13" s="122" t="n"/>
      <c r="O13" s="2" t="inlineStr">
        <is>
          <t>Cálculo: volume do ano x variação do preço líquido de impostos e de comissão.</t>
        </is>
      </c>
    </row>
    <row r="14">
      <c r="A14" s="17" t="inlineStr">
        <is>
          <t>Efeito MIX</t>
        </is>
      </c>
      <c r="B14" s="2" t="inlineStr">
        <is>
          <t>R$</t>
        </is>
      </c>
      <c r="C14" s="122" t="n"/>
      <c r="D14" s="122" t="n"/>
      <c r="E14" s="38">
        <f>'4. DRE'!E24*('4. DRE'!D54-'4. DRE'!E54)</f>
        <v/>
      </c>
      <c r="F14" s="38">
        <f>'4. DRE'!F24*('4. DRE'!E54-'4. DRE'!F54)</f>
        <v/>
      </c>
      <c r="G14" s="38">
        <f>'4. DRE'!G24*('4. DRE'!F54-'4. DRE'!G54)</f>
        <v/>
      </c>
      <c r="H14" s="38">
        <f>'4. DRE'!H24*('4. DRE'!G54-'4. DRE'!H54)</f>
        <v/>
      </c>
      <c r="I14" s="38">
        <f>'4. DRE'!I24*('4. DRE'!H54-'4. DRE'!I54)</f>
        <v/>
      </c>
      <c r="J14" s="38">
        <f>'4. DRE'!J24*('4. DRE'!I54-'4. DRE'!J54)</f>
        <v/>
      </c>
      <c r="K14" s="38">
        <f>'4. DRE'!K24*('4. DRE'!J54-'4. DRE'!K54)</f>
        <v/>
      </c>
      <c r="L14" s="38">
        <f>'4. DRE'!L24*('4. DRE'!K54-'4. DRE'!L54)</f>
        <v/>
      </c>
      <c r="M14" s="38">
        <f>'4. DRE'!M24*('4. DRE'!L54-'4. DRE'!M54)</f>
        <v/>
      </c>
      <c r="N14" s="122" t="n"/>
      <c r="O14" s="2" t="inlineStr">
        <is>
          <t>Cálculo: volume do ano x queda do frete unitário ponderado. Mix regional: sair do Sudeste encarece o frete.</t>
        </is>
      </c>
    </row>
    <row r="15">
      <c r="A15" s="17" t="inlineStr">
        <is>
          <t>Efeito CUSTO VARIÁVEL</t>
        </is>
      </c>
      <c r="B15" s="2" t="inlineStr">
        <is>
          <t>R$</t>
        </is>
      </c>
      <c r="C15" s="122" t="n"/>
      <c r="D15" s="122" t="n"/>
      <c r="E15" s="38">
        <f>'4. DRE'!E24*('4. DRE'!D53-'4. DRE'!E53)</f>
        <v/>
      </c>
      <c r="F15" s="38">
        <f>'4. DRE'!F24*('4. DRE'!E53-'4. DRE'!F53)</f>
        <v/>
      </c>
      <c r="G15" s="38">
        <f>'4. DRE'!G24*('4. DRE'!F53-'4. DRE'!G53)</f>
        <v/>
      </c>
      <c r="H15" s="38">
        <f>'4. DRE'!H24*('4. DRE'!G53-'4. DRE'!H53)</f>
        <v/>
      </c>
      <c r="I15" s="38">
        <f>'4. DRE'!I24*('4. DRE'!H53-'4. DRE'!I53)</f>
        <v/>
      </c>
      <c r="J15" s="38">
        <f>'4. DRE'!J24*('4. DRE'!I53-'4. DRE'!J53)</f>
        <v/>
      </c>
      <c r="K15" s="38">
        <f>'4. DRE'!K24*('4. DRE'!J53-'4. DRE'!K53)</f>
        <v/>
      </c>
      <c r="L15" s="38">
        <f>'4. DRE'!L24*('4. DRE'!K53-'4. DRE'!L53)</f>
        <v/>
      </c>
      <c r="M15" s="38">
        <f>'4. DRE'!M24*('4. DRE'!L53-'4. DRE'!M53)</f>
        <v/>
      </c>
      <c r="N15" s="122" t="n"/>
      <c r="O15" s="2" t="inlineStr">
        <is>
          <t>Cálculo: volume do ano x queda do custo variável unitário.</t>
        </is>
      </c>
    </row>
    <row r="16">
      <c r="A16" s="17" t="inlineStr">
        <is>
          <t>Efeito CUSTO FIXO</t>
        </is>
      </c>
      <c r="B16" s="2" t="inlineStr">
        <is>
          <t>R$</t>
        </is>
      </c>
      <c r="C16" s="122" t="n"/>
      <c r="D16" s="122" t="n"/>
      <c r="E16" s="38">
        <f>-('4. DRE'!E56-'4. DRE'!D56)</f>
        <v/>
      </c>
      <c r="F16" s="38">
        <f>-('4. DRE'!F56-'4. DRE'!E56)</f>
        <v/>
      </c>
      <c r="G16" s="38">
        <f>-('4. DRE'!G56-'4. DRE'!F56)</f>
        <v/>
      </c>
      <c r="H16" s="38">
        <f>-('4. DRE'!H56-'4. DRE'!G56)</f>
        <v/>
      </c>
      <c r="I16" s="38">
        <f>-('4. DRE'!I56-'4. DRE'!H56)</f>
        <v/>
      </c>
      <c r="J16" s="38">
        <f>-('4. DRE'!J56-'4. DRE'!I56)</f>
        <v/>
      </c>
      <c r="K16" s="38">
        <f>-('4. DRE'!K56-'4. DRE'!J56)</f>
        <v/>
      </c>
      <c r="L16" s="38">
        <f>-('4. DRE'!L56-'4. DRE'!K56)</f>
        <v/>
      </c>
      <c r="M16" s="38">
        <f>-('4. DRE'!M56-'4. DRE'!L56)</f>
        <v/>
      </c>
      <c r="N16" s="122" t="n"/>
      <c r="O16" s="2" t="inlineStr">
        <is>
          <t>Cálculo: −(custo fixo do ano − custo fixo anterior). Estrutura, manutenção, seguro e contingência.</t>
        </is>
      </c>
    </row>
    <row r="17">
      <c r="A17" s="21" t="inlineStr">
        <is>
          <t>EBITDA do ano</t>
        </is>
      </c>
      <c r="B17" s="2" t="inlineStr">
        <is>
          <t>R$</t>
        </is>
      </c>
      <c r="C17" s="122" t="n"/>
      <c r="D17" s="122" t="n"/>
      <c r="E17" s="137">
        <f>'4. DRE'!E39</f>
        <v/>
      </c>
      <c r="F17" s="137">
        <f>'4. DRE'!F39</f>
        <v/>
      </c>
      <c r="G17" s="137">
        <f>'4. DRE'!G39</f>
        <v/>
      </c>
      <c r="H17" s="137">
        <f>'4. DRE'!H39</f>
        <v/>
      </c>
      <c r="I17" s="137">
        <f>'4. DRE'!I39</f>
        <v/>
      </c>
      <c r="J17" s="137">
        <f>'4. DRE'!J39</f>
        <v/>
      </c>
      <c r="K17" s="137">
        <f>'4. DRE'!K39</f>
        <v/>
      </c>
      <c r="L17" s="137">
        <f>'4. DRE'!L39</f>
        <v/>
      </c>
      <c r="M17" s="137">
        <f>'4. DRE'!M39</f>
        <v/>
      </c>
      <c r="N17" s="122" t="n"/>
      <c r="O17" s="122" t="n"/>
    </row>
    <row r="18">
      <c r="A18" s="21" t="inlineStr">
        <is>
          <t>Δ EBITDA</t>
        </is>
      </c>
      <c r="B18" s="2" t="inlineStr">
        <is>
          <t>R$</t>
        </is>
      </c>
      <c r="C18" s="122" t="n"/>
      <c r="D18" s="122" t="n"/>
      <c r="E18" s="22">
        <f>E17-E11</f>
        <v/>
      </c>
      <c r="F18" s="22">
        <f>F17-F11</f>
        <v/>
      </c>
      <c r="G18" s="22">
        <f>G17-G11</f>
        <v/>
      </c>
      <c r="H18" s="22">
        <f>H17-H11</f>
        <v/>
      </c>
      <c r="I18" s="22">
        <f>I17-I11</f>
        <v/>
      </c>
      <c r="J18" s="22">
        <f>J17-J11</f>
        <v/>
      </c>
      <c r="K18" s="22">
        <f>K17-K11</f>
        <v/>
      </c>
      <c r="L18" s="22">
        <f>L17-L11</f>
        <v/>
      </c>
      <c r="M18" s="22">
        <f>M17-M11</f>
        <v/>
      </c>
      <c r="N18" s="122" t="n"/>
      <c r="O18" s="122" t="n"/>
    </row>
    <row r="19">
      <c r="A19" s="17" t="inlineStr">
        <is>
          <t>Soma dos efeitos</t>
        </is>
      </c>
      <c r="B19" s="2" t="inlineStr">
        <is>
          <t>R$</t>
        </is>
      </c>
      <c r="C19" s="122" t="n"/>
      <c r="D19" s="122" t="n"/>
      <c r="E19" s="38">
        <f>SUM(E12:E16)</f>
        <v/>
      </c>
      <c r="F19" s="38">
        <f>SUM(F12:F16)</f>
        <v/>
      </c>
      <c r="G19" s="38">
        <f>SUM(G12:G16)</f>
        <v/>
      </c>
      <c r="H19" s="38">
        <f>SUM(H12:H16)</f>
        <v/>
      </c>
      <c r="I19" s="38">
        <f>SUM(I12:I16)</f>
        <v/>
      </c>
      <c r="J19" s="38">
        <f>SUM(J12:J16)</f>
        <v/>
      </c>
      <c r="K19" s="38">
        <f>SUM(K12:K16)</f>
        <v/>
      </c>
      <c r="L19" s="38">
        <f>SUM(L12:L16)</f>
        <v/>
      </c>
      <c r="M19" s="38">
        <f>SUM(M12:M16)</f>
        <v/>
      </c>
      <c r="N19" s="122" t="n"/>
      <c r="O19" s="122" t="n"/>
    </row>
    <row r="20">
      <c r="A20" s="21" t="inlineStr">
        <is>
          <t>CHECK — a ponte fecha?</t>
        </is>
      </c>
      <c r="B20" s="122" t="n"/>
      <c r="C20" s="122" t="n"/>
      <c r="D20" s="122" t="n"/>
      <c r="E20" s="96">
        <f>IF(ABS(E19-E18)&lt;0.01,"OK","ERRO")</f>
        <v/>
      </c>
      <c r="F20" s="96">
        <f>IF(ABS(F19-F18)&lt;0.01,"OK","ERRO")</f>
        <v/>
      </c>
      <c r="G20" s="96">
        <f>IF(ABS(G19-G18)&lt;0.01,"OK","ERRO")</f>
        <v/>
      </c>
      <c r="H20" s="96">
        <f>IF(ABS(H19-H18)&lt;0.01,"OK","ERRO")</f>
        <v/>
      </c>
      <c r="I20" s="96">
        <f>IF(ABS(I19-I18)&lt;0.01,"OK","ERRO")</f>
        <v/>
      </c>
      <c r="J20" s="96">
        <f>IF(ABS(J19-J18)&lt;0.01,"OK","ERRO")</f>
        <v/>
      </c>
      <c r="K20" s="96">
        <f>IF(ABS(K19-K18)&lt;0.01,"OK","ERRO")</f>
        <v/>
      </c>
      <c r="L20" s="96">
        <f>IF(ABS(L19-L18)&lt;0.01,"OK","ERRO")</f>
        <v/>
      </c>
      <c r="M20" s="96">
        <f>IF(ABS(M19-M18)&lt;0.01,"OK","ERRO")</f>
        <v/>
      </c>
      <c r="N20" s="122" t="n"/>
      <c r="O20" s="122" t="n"/>
    </row>
    <row r="21">
      <c r="A21" s="122" t="n"/>
      <c r="B21" s="122" t="n"/>
      <c r="C21" s="122" t="n"/>
      <c r="D21" s="122" t="n"/>
      <c r="E21" s="122" t="n"/>
      <c r="F21" s="122" t="n"/>
      <c r="G21" s="122" t="n"/>
      <c r="H21" s="122" t="n"/>
      <c r="I21" s="122" t="n"/>
      <c r="J21" s="122" t="n"/>
      <c r="K21" s="122" t="n"/>
      <c r="L21" s="122" t="n"/>
      <c r="M21" s="122" t="n"/>
      <c r="N21" s="122" t="n"/>
      <c r="O21" s="122" t="n"/>
    </row>
    <row r="22">
      <c r="A22" s="15" t="inlineStr">
        <is>
          <t>B. PONTE DE UM ANO — leitura de gestor</t>
        </is>
      </c>
      <c r="B22" s="126" t="n"/>
      <c r="C22" s="126" t="n"/>
      <c r="D22" s="126" t="n"/>
      <c r="E22" s="126" t="n"/>
      <c r="F22" s="126" t="n"/>
      <c r="G22" s="126" t="n"/>
      <c r="H22" s="126" t="n"/>
      <c r="I22" s="126" t="n"/>
      <c r="J22" s="126" t="n"/>
      <c r="K22" s="126" t="n"/>
      <c r="L22" s="126" t="n"/>
      <c r="M22" s="126" t="n"/>
      <c r="N22" s="122" t="n"/>
      <c r="O22" s="122" t="n"/>
    </row>
    <row r="23">
      <c r="A23" s="21" t="inlineStr">
        <is>
          <t>Ano a destacar (2 a 10)</t>
        </is>
      </c>
      <c r="B23" s="122" t="n"/>
      <c r="C23" s="31" t="n">
        <v>2</v>
      </c>
      <c r="D23" s="122" t="n"/>
      <c r="E23" s="122" t="n"/>
      <c r="F23" s="122" t="n"/>
      <c r="G23" s="122" t="n"/>
      <c r="H23" s="122" t="n"/>
      <c r="I23" s="122" t="n"/>
      <c r="J23" s="122" t="n"/>
      <c r="K23" s="122" t="n"/>
      <c r="L23" s="122" t="n"/>
      <c r="M23" s="122" t="n"/>
      <c r="N23" s="122" t="n"/>
      <c r="O23" s="122" t="n"/>
    </row>
    <row r="24">
      <c r="A24" s="91" t="inlineStr">
        <is>
          <t>Exercício</t>
        </is>
      </c>
      <c r="B24" s="122" t="n"/>
      <c r="C24" s="91">
        <f>INDEX($C$8:$M$8,1,$C$23+1)</f>
        <v/>
      </c>
      <c r="D24" s="122" t="n"/>
      <c r="E24" s="122" t="n"/>
      <c r="F24" s="122" t="n"/>
      <c r="G24" s="122" t="n"/>
      <c r="H24" s="122" t="n"/>
      <c r="I24" s="122" t="n"/>
      <c r="J24" s="122" t="n"/>
      <c r="K24" s="122" t="n"/>
      <c r="L24" s="122" t="n"/>
      <c r="M24" s="122" t="n"/>
      <c r="N24" s="122" t="n"/>
      <c r="O24" s="122" t="n"/>
    </row>
    <row r="25">
      <c r="A25" s="21" t="inlineStr">
        <is>
          <t>EBITDA do ano anterior</t>
        </is>
      </c>
      <c r="B25" s="122" t="n"/>
      <c r="C25" s="97">
        <f>INDEX($C$11:$M$11,1,$C$23+1)</f>
        <v/>
      </c>
      <c r="D25" s="122" t="n"/>
      <c r="E25" s="122" t="n"/>
      <c r="F25" s="122" t="n"/>
      <c r="G25" s="122" t="n"/>
      <c r="H25" s="122" t="n"/>
      <c r="I25" s="122" t="n"/>
      <c r="J25" s="122" t="n"/>
      <c r="K25" s="122" t="n"/>
      <c r="L25" s="122" t="n"/>
      <c r="M25" s="122" t="n"/>
      <c r="N25" s="122" t="n"/>
      <c r="O25" s="122" t="n"/>
    </row>
    <row r="26">
      <c r="A26" s="17" t="inlineStr">
        <is>
          <t>Volume</t>
        </is>
      </c>
      <c r="B26" s="122" t="n"/>
      <c r="C26" s="38">
        <f>INDEX($C$12:$M$12,1,$C$23+1)</f>
        <v/>
      </c>
      <c r="D26" s="122" t="n"/>
      <c r="E26" s="122" t="n"/>
      <c r="F26" s="122" t="n"/>
      <c r="G26" s="122" t="n"/>
      <c r="H26" s="122" t="n"/>
      <c r="I26" s="122" t="n"/>
      <c r="J26" s="122" t="n"/>
      <c r="K26" s="122" t="n"/>
      <c r="L26" s="122" t="n"/>
      <c r="M26" s="122" t="n"/>
      <c r="N26" s="122" t="n"/>
      <c r="O26" s="122" t="n"/>
    </row>
    <row r="27">
      <c r="A27" s="17" t="inlineStr">
        <is>
          <t>Preço</t>
        </is>
      </c>
      <c r="B27" s="122" t="n"/>
      <c r="C27" s="38">
        <f>INDEX($C$13:$M$13,1,$C$23+1)</f>
        <v/>
      </c>
      <c r="D27" s="122" t="n"/>
      <c r="E27" s="122" t="n"/>
      <c r="F27" s="122" t="n"/>
      <c r="G27" s="122" t="n"/>
      <c r="H27" s="122" t="n"/>
      <c r="I27" s="122" t="n"/>
      <c r="J27" s="122" t="n"/>
      <c r="K27" s="122" t="n"/>
      <c r="L27" s="122" t="n"/>
      <c r="M27" s="122" t="n"/>
      <c r="N27" s="122" t="n"/>
      <c r="O27" s="122" t="n"/>
    </row>
    <row r="28">
      <c r="A28" s="17" t="inlineStr">
        <is>
          <t>Mix</t>
        </is>
      </c>
      <c r="B28" s="122" t="n"/>
      <c r="C28" s="38">
        <f>INDEX($C$14:$M$14,1,$C$23+1)</f>
        <v/>
      </c>
      <c r="D28" s="122" t="n"/>
      <c r="E28" s="122" t="n"/>
      <c r="F28" s="122" t="n"/>
      <c r="G28" s="122" t="n"/>
      <c r="H28" s="122" t="n"/>
      <c r="I28" s="122" t="n"/>
      <c r="J28" s="122" t="n"/>
      <c r="K28" s="122" t="n"/>
      <c r="L28" s="122" t="n"/>
      <c r="M28" s="122" t="n"/>
      <c r="N28" s="122" t="n"/>
      <c r="O28" s="122" t="n"/>
    </row>
    <row r="29">
      <c r="A29" s="17" t="inlineStr">
        <is>
          <t>Custo variável</t>
        </is>
      </c>
      <c r="B29" s="122" t="n"/>
      <c r="C29" s="38">
        <f>INDEX($C$15:$M$15,1,$C$23+1)</f>
        <v/>
      </c>
      <c r="D29" s="122" t="n"/>
      <c r="E29" s="122" t="n"/>
      <c r="F29" s="122" t="n"/>
      <c r="G29" s="122" t="n"/>
      <c r="H29" s="122" t="n"/>
      <c r="I29" s="122" t="n"/>
      <c r="J29" s="122" t="n"/>
      <c r="K29" s="122" t="n"/>
      <c r="L29" s="122" t="n"/>
      <c r="M29" s="122" t="n"/>
      <c r="N29" s="122" t="n"/>
      <c r="O29" s="122" t="n"/>
    </row>
    <row r="30">
      <c r="A30" s="17" t="inlineStr">
        <is>
          <t>Custo fixo</t>
        </is>
      </c>
      <c r="B30" s="122" t="n"/>
      <c r="C30" s="38">
        <f>INDEX($C$16:$M$16,1,$C$23+1)</f>
        <v/>
      </c>
      <c r="D30" s="122" t="n"/>
      <c r="E30" s="122" t="n"/>
      <c r="F30" s="122" t="n"/>
      <c r="G30" s="122" t="n"/>
      <c r="H30" s="122" t="n"/>
      <c r="I30" s="122" t="n"/>
      <c r="J30" s="122" t="n"/>
      <c r="K30" s="122" t="n"/>
      <c r="L30" s="122" t="n"/>
      <c r="M30" s="122" t="n"/>
      <c r="N30" s="122" t="n"/>
      <c r="O30" s="122" t="n"/>
    </row>
    <row r="31">
      <c r="A31" s="21" t="inlineStr">
        <is>
          <t>EBITDA do ano</t>
        </is>
      </c>
      <c r="B31" s="122" t="n"/>
      <c r="C31" s="97">
        <f>INDEX($C$17:$M$17,1,$C$23+1)</f>
        <v/>
      </c>
      <c r="D31" s="122" t="n"/>
      <c r="E31" s="122" t="n"/>
      <c r="F31" s="122" t="n"/>
      <c r="G31" s="122" t="n"/>
      <c r="H31" s="122" t="n"/>
      <c r="I31" s="122" t="n"/>
      <c r="J31" s="122" t="n"/>
      <c r="K31" s="122" t="n"/>
      <c r="L31" s="122" t="n"/>
      <c r="M31" s="122" t="n"/>
      <c r="N31" s="122" t="n"/>
      <c r="O31" s="122" t="n"/>
    </row>
    <row r="32">
      <c r="A32" s="21" t="inlineStr">
        <is>
          <t>Δ EBITDA</t>
        </is>
      </c>
      <c r="B32" s="122" t="n"/>
      <c r="C32" s="22">
        <f>INDEX($C$18:$M$18,1,$C$23+1)</f>
        <v/>
      </c>
      <c r="D32" s="122" t="n"/>
      <c r="E32" s="122" t="n"/>
      <c r="F32" s="122" t="n"/>
      <c r="G32" s="122" t="n"/>
      <c r="H32" s="122" t="n"/>
      <c r="I32" s="122" t="n"/>
      <c r="J32" s="122" t="n"/>
      <c r="K32" s="122" t="n"/>
      <c r="L32" s="122" t="n"/>
      <c r="M32" s="122" t="n"/>
      <c r="N32" s="122" t="n"/>
      <c r="O32" s="122" t="n"/>
    </row>
    <row r="33">
      <c r="A33" s="17" t="inlineStr">
        <is>
          <t>Δ EBITDA (%)</t>
        </is>
      </c>
      <c r="B33" s="122" t="n"/>
      <c r="C33" s="20">
        <f>INDEX($C$18:$M$18,1,$C$23+1)/INDEX($C$11:$M$11,1,$C$23+1)</f>
        <v/>
      </c>
      <c r="D33" s="122" t="n"/>
      <c r="E33" s="122" t="n"/>
      <c r="F33" s="122" t="n"/>
      <c r="G33" s="122" t="n"/>
      <c r="H33" s="122" t="n"/>
      <c r="I33" s="122" t="n"/>
      <c r="J33" s="122" t="n"/>
      <c r="K33" s="122" t="n"/>
      <c r="L33" s="122" t="n"/>
      <c r="M33" s="122" t="n"/>
      <c r="N33" s="122" t="n"/>
      <c r="O33" s="122" t="n"/>
    </row>
    <row r="34">
      <c r="A34" s="122" t="n"/>
      <c r="B34" s="122" t="n"/>
      <c r="C34" s="122" t="n"/>
      <c r="D34" s="122" t="n"/>
      <c r="E34" s="122" t="n"/>
      <c r="F34" s="122" t="n"/>
      <c r="G34" s="122" t="n"/>
      <c r="H34" s="122" t="n"/>
      <c r="I34" s="122" t="n"/>
      <c r="J34" s="122" t="n"/>
      <c r="K34" s="122" t="n"/>
      <c r="L34" s="122" t="n"/>
      <c r="M34" s="122" t="n"/>
      <c r="N34" s="122" t="n"/>
      <c r="O34" s="122" t="n"/>
    </row>
    <row r="35">
      <c r="A35" s="15" t="inlineStr">
        <is>
          <t>C. CENÁRIO ATIVO CONTRA O CENÁRIO BASE  (mesmo ano)</t>
        </is>
      </c>
      <c r="B35" s="126" t="n"/>
      <c r="C35" s="126" t="n"/>
      <c r="D35" s="126" t="n"/>
      <c r="E35" s="126" t="n"/>
      <c r="F35" s="126" t="n"/>
      <c r="G35" s="126" t="n"/>
      <c r="H35" s="126" t="n"/>
      <c r="I35" s="126" t="n"/>
      <c r="J35" s="126" t="n"/>
      <c r="K35" s="126" t="n"/>
      <c r="L35" s="126" t="n"/>
      <c r="M35" s="126" t="n"/>
      <c r="N35" s="122" t="n"/>
      <c r="O35" s="122" t="n"/>
    </row>
    <row r="36">
      <c r="A36" s="2" t="inlineStr">
        <is>
          <t>Lê o cenário selecionado na aba 2. Inputs (C5) e compara com o Base. Com o cenário Base ativo, todos os efeitos são zero.</t>
        </is>
      </c>
      <c r="B36" s="122" t="n"/>
      <c r="C36" s="122" t="n"/>
      <c r="D36" s="122" t="n"/>
      <c r="E36" s="122" t="n"/>
      <c r="F36" s="122" t="n"/>
      <c r="G36" s="122" t="n"/>
      <c r="H36" s="122" t="n"/>
      <c r="I36" s="122" t="n"/>
      <c r="J36" s="122" t="n"/>
      <c r="K36" s="122" t="n"/>
      <c r="L36" s="122" t="n"/>
      <c r="M36" s="122" t="n"/>
      <c r="N36" s="122" t="n"/>
      <c r="O36" s="122" t="n"/>
    </row>
    <row r="37">
      <c r="A37" s="21" t="inlineStr">
        <is>
          <t>EBITDA — cenário Base</t>
        </is>
      </c>
      <c r="B37" s="122" t="n"/>
      <c r="C37" s="97">
        <f>INDEX('8. Motor de Cenarios'!$C$63:'8. Motor de Cenarios'!$M$63,1,$C$23+1)</f>
        <v/>
      </c>
      <c r="D37" s="122" t="n"/>
      <c r="E37" s="122" t="n"/>
      <c r="F37" s="122" t="n"/>
      <c r="G37" s="122" t="n"/>
      <c r="H37" s="122" t="n"/>
      <c r="I37" s="122" t="n"/>
      <c r="J37" s="122" t="n"/>
      <c r="K37" s="122" t="n"/>
      <c r="L37" s="122" t="n"/>
      <c r="M37" s="122" t="n"/>
      <c r="N37" s="122" t="n"/>
      <c r="O37" s="122" t="n"/>
    </row>
    <row r="38">
      <c r="A38" s="17" t="inlineStr">
        <is>
          <t>Efeito VOLUME</t>
        </is>
      </c>
      <c r="B38" s="122" t="n"/>
      <c r="C38" s="38">
        <f>(INDEX('4. DRE'!$C$24:'4. DRE'!$M$24,1,$C$23+1)-INDEX('8. Motor de Cenarios'!$C$48:'8. Motor de Cenarios'!$M$48,1,$C$23+1))*((INDEX('8. Motor de Cenarios'!$C$62:'8. Motor de Cenarios'!$M$62,1,$C$23+1)/INDEX('8. Motor de Cenarios'!$C$48:'8. Motor de Cenarios'!$M$48,1,$C$23+1))-(INDEX('8. Motor de Cenarios'!$C$61:'8. Motor de Cenarios'!$M$61,1,$C$23+1)/INDEX('8. Motor de Cenarios'!$C$48:'8. Motor de Cenarios'!$M$48,1,$C$23+1))-INDEX('8. Motor de Cenarios'!$C$50:'8. Motor de Cenarios'!$M$50,1,$C$23+1)-INDEX('8. Motor de Cenarios'!$C$49:'8. Motor de Cenarios'!$M$49,1,$C$23+1))</f>
        <v/>
      </c>
      <c r="D38" s="122" t="n"/>
      <c r="E38" s="122" t="n"/>
      <c r="F38" s="122" t="n"/>
      <c r="G38" s="122" t="n"/>
      <c r="H38" s="122" t="n"/>
      <c r="I38" s="122" t="n"/>
      <c r="J38" s="122" t="n"/>
      <c r="K38" s="122" t="n"/>
      <c r="L38" s="122" t="n"/>
      <c r="M38" s="122" t="n"/>
      <c r="N38" s="122" t="n"/>
      <c r="O38" s="122" t="n"/>
    </row>
    <row r="39">
      <c r="A39" s="17" t="inlineStr">
        <is>
          <t>Efeito PREÇO</t>
        </is>
      </c>
      <c r="B39" s="122" t="n"/>
      <c r="C39" s="38">
        <f>INDEX('4. DRE'!$C$24:'4. DRE'!$M$24,1,$C$23+1)*((INDEX('4. DRE'!$C$51:'4. DRE'!$M$51,1,$C$23+1)-INDEX('4. DRE'!$C$52:'4. DRE'!$M$52,1,$C$23+1))-((INDEX('8. Motor de Cenarios'!$C$62:'8. Motor de Cenarios'!$M$62,1,$C$23+1)/INDEX('8. Motor de Cenarios'!$C$48:'8. Motor de Cenarios'!$M$48,1,$C$23+1))-(INDEX('8. Motor de Cenarios'!$C$61:'8. Motor de Cenarios'!$M$61,1,$C$23+1)/INDEX('8. Motor de Cenarios'!$C$48:'8. Motor de Cenarios'!$M$48,1,$C$23+1))))</f>
        <v/>
      </c>
      <c r="D39" s="122" t="n"/>
      <c r="E39" s="122" t="n"/>
      <c r="F39" s="122" t="n"/>
      <c r="G39" s="122" t="n"/>
      <c r="H39" s="122" t="n"/>
      <c r="I39" s="122" t="n"/>
      <c r="J39" s="122" t="n"/>
      <c r="K39" s="122" t="n"/>
      <c r="L39" s="122" t="n"/>
      <c r="M39" s="122" t="n"/>
      <c r="N39" s="122" t="n"/>
      <c r="O39" s="122" t="n"/>
    </row>
    <row r="40">
      <c r="A40" s="17" t="inlineStr">
        <is>
          <t>Efeito MIX</t>
        </is>
      </c>
      <c r="B40" s="122" t="n"/>
      <c r="C40" s="38">
        <f>INDEX('4. DRE'!$C$24:'4. DRE'!$M$24,1,$C$23+1)*(INDEX('8. Motor de Cenarios'!$C$49:'8. Motor de Cenarios'!$M$49,1,$C$23+1)-INDEX('4. DRE'!$C$54:'4. DRE'!$M$54,1,$C$23+1))</f>
        <v/>
      </c>
      <c r="D40" s="122" t="n"/>
      <c r="E40" s="122" t="n"/>
      <c r="F40" s="122" t="n"/>
      <c r="G40" s="122" t="n"/>
      <c r="H40" s="122" t="n"/>
      <c r="I40" s="122" t="n"/>
      <c r="J40" s="122" t="n"/>
      <c r="K40" s="122" t="n"/>
      <c r="L40" s="122" t="n"/>
      <c r="M40" s="122" t="n"/>
      <c r="N40" s="122" t="n"/>
      <c r="O40" s="122" t="n"/>
    </row>
    <row r="41">
      <c r="A41" s="17" t="inlineStr">
        <is>
          <t>Efeito CUSTO VARIÁVEL</t>
        </is>
      </c>
      <c r="B41" s="122" t="n"/>
      <c r="C41" s="38">
        <f>INDEX('4. DRE'!$C$24:'4. DRE'!$M$24,1,$C$23+1)*(INDEX('8. Motor de Cenarios'!$C$50:'8. Motor de Cenarios'!$M$50,1,$C$23+1)-INDEX('4. DRE'!$C$53:'4. DRE'!$M$53,1,$C$23+1))</f>
        <v/>
      </c>
      <c r="D41" s="122" t="n"/>
      <c r="E41" s="122" t="n"/>
      <c r="F41" s="122" t="n"/>
      <c r="G41" s="122" t="n"/>
      <c r="H41" s="122" t="n"/>
      <c r="I41" s="122" t="n"/>
      <c r="J41" s="122" t="n"/>
      <c r="K41" s="122" t="n"/>
      <c r="L41" s="122" t="n"/>
      <c r="M41" s="122" t="n"/>
      <c r="N41" s="122" t="n"/>
      <c r="O41" s="122" t="n"/>
    </row>
    <row r="42">
      <c r="A42" s="17" t="inlineStr">
        <is>
          <t>Efeito CUSTO FIXO</t>
        </is>
      </c>
      <c r="B42" s="122" t="n"/>
      <c r="C42" s="38">
        <f>-(INDEX('4. DRE'!$C$56:'4. DRE'!$M$56,1,$C$23+1)-(INDEX('8. Motor de Cenarios'!$C$54:'8. Motor de Cenarios'!$M$54,1,$C$23+1)+INDEX('8. Motor de Cenarios'!$C$55:'8. Motor de Cenarios'!$M$55,1,$C$23+1)+INDEX('8. Motor de Cenarios'!$C$56:'8. Motor de Cenarios'!$M$56,1,$C$23+1)))</f>
        <v/>
      </c>
      <c r="D42" s="122" t="n"/>
      <c r="E42" s="122" t="n"/>
      <c r="F42" s="122" t="n"/>
      <c r="G42" s="122" t="n"/>
      <c r="H42" s="122" t="n"/>
      <c r="I42" s="122" t="n"/>
      <c r="J42" s="122" t="n"/>
      <c r="K42" s="122" t="n"/>
      <c r="L42" s="122" t="n"/>
      <c r="M42" s="122" t="n"/>
      <c r="N42" s="122" t="n"/>
      <c r="O42" s="122" t="n"/>
    </row>
    <row r="43">
      <c r="A43" s="21" t="inlineStr">
        <is>
          <t>EBITDA — cenário ativo</t>
        </is>
      </c>
      <c r="B43" s="122" t="n"/>
      <c r="C43" s="97">
        <f>INDEX('4. DRE'!$C$39:'4. DRE'!$M$39,1,$C$23+1)</f>
        <v/>
      </c>
      <c r="D43" s="122" t="n"/>
      <c r="E43" s="122" t="n"/>
      <c r="F43" s="122" t="n"/>
      <c r="G43" s="122" t="n"/>
      <c r="H43" s="122" t="n"/>
      <c r="I43" s="122" t="n"/>
      <c r="J43" s="122" t="n"/>
      <c r="K43" s="122" t="n"/>
      <c r="L43" s="122" t="n"/>
      <c r="M43" s="122" t="n"/>
      <c r="N43" s="122" t="n"/>
      <c r="O43" s="122" t="n"/>
    </row>
    <row r="44">
      <c r="A44" s="21" t="inlineStr">
        <is>
          <t>CHECK — a ponte fecha?</t>
        </is>
      </c>
      <c r="B44" s="122" t="n"/>
      <c r="C44" s="21">
        <f>IF(ABS(SUM(C38:C42)-(C43-C37))&lt;0.01,"OK","ERRO")</f>
        <v/>
      </c>
      <c r="D44" s="122" t="n"/>
      <c r="E44" s="122" t="n"/>
      <c r="F44" s="122" t="n"/>
      <c r="G44" s="122" t="n"/>
      <c r="H44" s="122" t="n"/>
      <c r="I44" s="122" t="n"/>
      <c r="J44" s="122" t="n"/>
      <c r="K44" s="122" t="n"/>
      <c r="L44" s="122" t="n"/>
      <c r="M44" s="122" t="n"/>
      <c r="N44" s="122" t="n"/>
      <c r="O44" s="122" t="n"/>
    </row>
    <row r="45">
      <c r="A45" s="122" t="n"/>
      <c r="B45" s="122" t="n"/>
      <c r="C45" s="122" t="n"/>
      <c r="D45" s="122" t="n"/>
      <c r="E45" s="122" t="n"/>
      <c r="F45" s="122" t="n"/>
      <c r="G45" s="122" t="n"/>
      <c r="H45" s="122" t="n"/>
      <c r="I45" s="122" t="n"/>
      <c r="J45" s="122" t="n"/>
      <c r="K45" s="122" t="n"/>
      <c r="L45" s="122" t="n"/>
      <c r="M45" s="122" t="n"/>
      <c r="N45" s="122" t="n"/>
      <c r="O45" s="122" t="n"/>
    </row>
    <row r="46">
      <c r="A46" s="15" t="inlineStr">
        <is>
          <t>D. COMENTÁRIO DE GESTOR  (modelo — reescrever com o cenário que for apresentado)</t>
        </is>
      </c>
      <c r="B46" s="126" t="n"/>
      <c r="C46" s="126" t="n"/>
      <c r="D46" s="126" t="n"/>
      <c r="E46" s="126" t="n"/>
      <c r="F46" s="126" t="n"/>
      <c r="G46" s="126" t="n"/>
      <c r="H46" s="126" t="n"/>
      <c r="I46" s="126" t="n"/>
      <c r="J46" s="126" t="n"/>
      <c r="K46" s="126" t="n"/>
      <c r="L46" s="126" t="n"/>
      <c r="M46" s="126" t="n"/>
      <c r="N46" s="122" t="n"/>
      <c r="O46" s="122" t="n"/>
    </row>
    <row r="47" ht="34" customHeight="1">
      <c r="A47" s="52" t="inlineStr">
        <is>
          <t>• O EBITDA do ano 2 cresce sobre o ano 1 movido por volume e por preço, nessa ordem. Volume é o balanço de massa da engenharia; preço é a margem-alvo, que sobe 2 p.p. por ano por premissa, não por estudo de mercado.</t>
        </is>
      </c>
      <c r="N47" s="122" t="n"/>
      <c r="O47" s="122" t="n"/>
    </row>
    <row r="48" ht="34" customHeight="1">
      <c r="A48" s="52" t="inlineStr">
        <is>
          <t>• O efeito custo variável é sistematicamente negativo em reais e praticamente nulo por unidade: o custo variável unitário fica em torno de R$ 11,1 o ano inteiro. Nenhum ganho de escala foi modelado na matéria-prima — é uma oportunidade real de plano, não uma falha da planilha.</t>
        </is>
      </c>
      <c r="N48" s="122" t="n"/>
      <c r="O48" s="122" t="n"/>
    </row>
    <row r="49" ht="34" customHeight="1">
      <c r="A49" s="52" t="inlineStr">
        <is>
          <t>• O efeito custo fixo é o mais confortável da ponte: a estrutura é quase toda herdada do CAPEX e não cresce com o volume. É o que faz a margem EBITDA subir de 35% para 56% ao longo do horizonte.</t>
        </is>
      </c>
      <c r="N49" s="122" t="n"/>
      <c r="O49" s="122" t="n"/>
    </row>
    <row r="50" ht="34" customHeight="1">
      <c r="A50" s="52" t="inlineStr">
        <is>
          <t>• O efeito mix é irrelevante em base: 80% do volume já está no Sudeste e o frete é 0,4% do custo. A alavanca existe para o caso de a distribuição mudar, não porque ela explique o resultado de hoje.</t>
        </is>
      </c>
      <c r="N50" s="122" t="n"/>
      <c r="O50" s="122" t="n"/>
    </row>
    <row r="51" ht="34" customHeight="1">
      <c r="A51" s="52" t="inlineStr">
        <is>
          <t>• O que essa ponte NÃO explica, e é onde eu colocaria a discussão: a margem-alvo de 43% no ano 10 e o crescimento de 10% ao ano de market share. Os dois vêm da premissa, não do dado. Tudo o mais no caso é engenharia verificável.</t>
        </is>
      </c>
      <c r="N51" s="122" t="n"/>
      <c r="O51" s="122" t="n"/>
    </row>
  </sheetData>
  <mergeCells count="5">
    <mergeCell ref="A50:M50"/>
    <mergeCell ref="A48:M48"/>
    <mergeCell ref="A49:M49"/>
    <mergeCell ref="A51:M51"/>
    <mergeCell ref="A47:M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8000"/>
    <outlinePr summaryBelow="1" summaryRight="1"/>
    <pageSetUpPr/>
  </sheetPr>
  <dimension ref="A1:G25"/>
  <sheetViews>
    <sheetView workbookViewId="0">
      <pane ySplit="8" topLeftCell="A9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8" customWidth="1" min="2" max="2"/>
    <col width="20" customWidth="1" min="3" max="3"/>
    <col width="20" customWidth="1" min="4" max="4"/>
    <col width="20" customWidth="1" min="5" max="5"/>
    <col width="12" customWidth="1" min="6" max="6"/>
    <col width="72" customWidth="1" min="7" max="7"/>
  </cols>
  <sheetData>
    <row r="1">
      <c r="A1" s="1" t="inlineStr">
        <is>
          <t>CHECKS DE AMARRAÇÃO</t>
        </is>
      </c>
      <c r="B1" s="122" t="n"/>
      <c r="C1" s="122" t="n"/>
      <c r="D1" s="122" t="n"/>
      <c r="E1" s="122" t="n"/>
      <c r="F1" s="122" t="n"/>
      <c r="G1" s="122" t="n"/>
    </row>
    <row r="2">
      <c r="A2" s="2" t="inlineStr">
        <is>
          <t>Check escondido não é check. Se qualquer linha abaixo sair de OK, o modelo não sai da gaveta.</t>
        </is>
      </c>
      <c r="B2" s="122" t="n"/>
      <c r="C2" s="122" t="n"/>
      <c r="D2" s="122" t="n"/>
      <c r="E2" s="122" t="n"/>
      <c r="F2" s="122" t="n"/>
      <c r="G2" s="122" t="n"/>
    </row>
    <row r="3">
      <c r="A3" s="122" t="n"/>
      <c r="B3" s="122" t="n"/>
      <c r="C3" s="122" t="n"/>
      <c r="D3" s="122" t="n"/>
      <c r="E3" s="122" t="n"/>
      <c r="F3" s="122" t="n"/>
      <c r="G3" s="122" t="n"/>
    </row>
    <row r="4">
      <c r="A4" s="98" t="inlineStr">
        <is>
          <t>VEREDITO</t>
        </is>
      </c>
      <c r="B4" s="122" t="n"/>
      <c r="C4" s="99">
        <f>IF(COUNTIF(F7:F25,"OK")=19,"MODELO FECHA — 19 de 19 checks OK","ATENÇÃO: "&amp;(19-COUNTIF(F7:F25,"OK"))&amp;" de 19 checks NÃO estão OK")</f>
        <v/>
      </c>
      <c r="D4" s="100" t="n"/>
      <c r="E4" s="101" t="n"/>
      <c r="F4" s="122" t="n"/>
      <c r="G4" s="122" t="n"/>
    </row>
    <row r="5">
      <c r="A5" s="122" t="n"/>
      <c r="B5" s="122" t="n"/>
      <c r="C5" s="122" t="n"/>
      <c r="D5" s="122" t="n"/>
      <c r="E5" s="122" t="n"/>
      <c r="F5" s="122" t="n"/>
      <c r="G5" s="122" t="n"/>
    </row>
    <row r="6">
      <c r="A6" s="46" t="inlineStr">
        <is>
          <t>N°</t>
        </is>
      </c>
      <c r="B6" s="46" t="inlineStr">
        <is>
          <t>O que amarra</t>
        </is>
      </c>
      <c r="C6" s="46" t="inlineStr">
        <is>
          <t>Valor A</t>
        </is>
      </c>
      <c r="D6" s="46" t="inlineStr">
        <is>
          <t>Valor B</t>
        </is>
      </c>
      <c r="E6" s="46" t="inlineStr">
        <is>
          <t>Diferença</t>
        </is>
      </c>
      <c r="F6" s="46" t="inlineStr">
        <is>
          <t>Status</t>
        </is>
      </c>
      <c r="G6" s="46" t="inlineStr">
        <is>
          <t>Por que este check existe</t>
        </is>
      </c>
    </row>
    <row r="7" ht="30" customHeight="1">
      <c r="A7" s="102" t="n">
        <v>1</v>
      </c>
      <c r="B7" s="102" t="inlineStr">
        <is>
          <t>Participações regionais somam 100%</t>
        </is>
      </c>
      <c r="C7" s="103">
        <f>SUM('2. Inputs'!D18:D22)</f>
        <v/>
      </c>
      <c r="D7" s="103">
        <f>1</f>
        <v/>
      </c>
      <c r="E7" s="103">
        <f>C7-D7</f>
        <v/>
      </c>
      <c r="F7" s="104">
        <f>IF(ABS(C7-D7)&lt;0.0000001,"OK","ERRO")</f>
        <v/>
      </c>
      <c r="G7" s="105" t="inlineStr">
        <is>
          <t>Se o mix não fecha em 100%, o frete unitário ponderado está errado e o custo variável inteiro sai do lugar.</t>
        </is>
      </c>
    </row>
    <row r="8" ht="30" customHeight="1">
      <c r="A8" s="102" t="n">
        <v>2</v>
      </c>
      <c r="B8" s="102" t="inlineStr">
        <is>
          <t>Ativos do ano 0 + terreno = CAPEX corrigido do ano 0</t>
        </is>
      </c>
      <c r="C8" s="106">
        <f>SUMIF('3. Depreciacao'!$C$12:$C$18,0,'3. Depreciacao'!$D$12:$D$18)+'3. Depreciacao'!$D$20</f>
        <v/>
      </c>
      <c r="D8" s="138">
        <f>'2. Inputs'!C53</f>
        <v/>
      </c>
      <c r="E8" s="106">
        <f>C8-D8</f>
        <v/>
      </c>
      <c r="F8" s="104">
        <f>IF(ABS(C8-D8)&lt;0.01,"OK","ERRO")</f>
        <v/>
      </c>
      <c r="G8" s="105" t="inlineStr">
        <is>
          <t>Todo real investido no ano 0 tem de estar classificado em alguma vida útil — ou declarado como terreno. Foi exatamente aqui que a origem perdeu R$ 16.773.</t>
        </is>
      </c>
    </row>
    <row r="9" ht="30" customHeight="1">
      <c r="A9" s="102" t="n">
        <v>3</v>
      </c>
      <c r="B9" s="102" t="inlineStr">
        <is>
          <t>Reinvestimentos no registro = CAPEX dos anos 1 a 10</t>
        </is>
      </c>
      <c r="C9" s="106">
        <f>SUMIF('3. Depreciacao'!$C$12:$C$18,"&gt;0",'3. Depreciacao'!$D$12:$D$18)</f>
        <v/>
      </c>
      <c r="D9" s="106">
        <f>SUM('2. Inputs'!D53:M53)</f>
        <v/>
      </c>
      <c r="E9" s="106">
        <f>C9-D9</f>
        <v/>
      </c>
      <c r="F9" s="104">
        <f>IF(ABS(C9-D9)&lt;0.01,"OK","ERRO")</f>
        <v/>
      </c>
      <c r="G9" s="105" t="inlineStr">
        <is>
          <t>O defeito D3 da origem: reinvestimento que sai do caixa e nunca entra na base de depreciação.</t>
        </is>
      </c>
    </row>
    <row r="10" ht="30" customHeight="1">
      <c r="A10" s="102" t="n">
        <v>4</v>
      </c>
      <c r="B10" s="102" t="inlineStr">
        <is>
          <t>Depreciação acumulada nunca passa da base depreciável</t>
        </is>
      </c>
      <c r="C10" s="139">
        <f>'3. Depreciacao'!M32</f>
        <v/>
      </c>
      <c r="D10" s="139">
        <f>'3. Depreciacao'!D19</f>
        <v/>
      </c>
      <c r="E10" s="107">
        <f>C10-D10</f>
        <v/>
      </c>
      <c r="F10" s="104">
        <f>IF(C10&lt;=D10+0.01,"OK","ERRO")</f>
        <v/>
      </c>
      <c r="G10" s="105" t="inlineStr">
        <is>
          <t>O defeito D2 da origem: depreciar 200% de um ativo de 5 anos ao longo de 10. Este check é Valor A &lt;= Valor B.</t>
        </is>
      </c>
    </row>
    <row r="11" ht="30" customHeight="1">
      <c r="A11" s="102" t="n">
        <v>5</v>
      </c>
      <c r="B11" s="102" t="inlineStr">
        <is>
          <t>DRE: receita bruta = volume x preço</t>
        </is>
      </c>
      <c r="C11" s="138">
        <f>'4. DRE'!D26</f>
        <v/>
      </c>
      <c r="D11" s="106">
        <f>'4. DRE'!D24*'4. DRE'!D25</f>
        <v/>
      </c>
      <c r="E11" s="106">
        <f>C11-D11</f>
        <v/>
      </c>
      <c r="F11" s="104">
        <f>IF(ABS(C11-D11)&lt;0.01,"OK","ERRO")</f>
        <v/>
      </c>
      <c r="G11" s="105" t="inlineStr">
        <is>
          <t>Amarra a linha de cima do resultado com os dois drivers que a geram.</t>
        </is>
      </c>
    </row>
    <row r="12" ht="30" customHeight="1">
      <c r="A12" s="102" t="n">
        <v>6</v>
      </c>
      <c r="B12" s="102" t="inlineStr">
        <is>
          <t>DRE: custo total = CTU x volume</t>
        </is>
      </c>
      <c r="C12" s="138">
        <f>'4. DRE'!D18</f>
        <v/>
      </c>
      <c r="D12" s="106">
        <f>'4. DRE'!D19*'4. DRE'!D24</f>
        <v/>
      </c>
      <c r="E12" s="106">
        <f>C12-D12</f>
        <v/>
      </c>
      <c r="F12" s="104">
        <f>IF(ABS(C12-D12)&lt;0.01,"OK","ERRO")</f>
        <v/>
      </c>
      <c r="G12" s="105" t="inlineStr">
        <is>
          <t>Na origem o CTU estava DIGITADO e já não batia com o custo calculado: 15,323 contra 15,3406.</t>
        </is>
      </c>
    </row>
    <row r="13" ht="30" customHeight="1">
      <c r="A13" s="102" t="n">
        <v>7</v>
      </c>
      <c r="B13" s="102" t="inlineStr">
        <is>
          <t>EBITDA = margem de contribuição − custos fixos</t>
        </is>
      </c>
      <c r="C13" s="138">
        <f>'4. DRE'!D39</f>
        <v/>
      </c>
      <c r="D13" s="106">
        <f>'4. DRE'!D34+'4. DRE'!D36+'4. DRE'!D37+'4. DRE'!D38</f>
        <v/>
      </c>
      <c r="E13" s="106">
        <f>C13-D13</f>
        <v/>
      </c>
      <c r="F13" s="104">
        <f>IF(ABS(C13-D13)&lt;0.01,"OK","ERRO")</f>
        <v/>
      </c>
      <c r="G13" s="105" t="inlineStr">
        <is>
          <t>Recalcula o EBITDA por outro caminho. Se os dois não baterem, alguma linha de custo entrou duas vezes ou nenhuma.</t>
        </is>
      </c>
    </row>
    <row r="14" ht="30" customHeight="1">
      <c r="A14" s="102" t="n">
        <v>8</v>
      </c>
      <c r="B14" s="102" t="inlineStr">
        <is>
          <t>Sem dívida: NOPAT = lucro líquido</t>
        </is>
      </c>
      <c r="C14" s="138">
        <f>'5. Fluxo de Caixa'!D23</f>
        <v/>
      </c>
      <c r="D14" s="138">
        <f>'4. DRE'!D46</f>
        <v/>
      </c>
      <c r="E14" s="106">
        <f>C14-D14</f>
        <v/>
      </c>
      <c r="F14" s="104">
        <f>IF(ABS(C14-D14)&lt;0.01,"OK","ERRO")</f>
        <v/>
      </c>
      <c r="G14" s="105" t="inlineStr">
        <is>
          <t>O projeto é 100% equity. Se NOPAT e lucro líquido divergirem, apareceu um resultado financeiro que não deveria existir.</t>
        </is>
      </c>
    </row>
    <row r="15" ht="30" customHeight="1">
      <c r="A15" s="102" t="n">
        <v>9</v>
      </c>
      <c r="B15" s="102" t="inlineStr">
        <is>
          <t>FCL = NOPAT + depreciação − ΔCG − CAPEX</t>
        </is>
      </c>
      <c r="C15" s="138">
        <f>'5. Fluxo de Caixa'!D28</f>
        <v/>
      </c>
      <c r="D15" s="106">
        <f>'5. Fluxo de Caixa'!D23+'3. Depreciacao'!D31-'5. Fluxo de Caixa'!D16-'2. Inputs'!D53</f>
        <v/>
      </c>
      <c r="E15" s="106">
        <f>C15-D15</f>
        <v/>
      </c>
      <c r="F15" s="104">
        <f>IF(ABS(C15-D15)&lt;0.01,"OK","ERRO")</f>
        <v/>
      </c>
      <c r="G15" s="105" t="inlineStr">
        <is>
          <t>A ponte entre resultado e caixa, recalculada célula a célula.</t>
        </is>
      </c>
    </row>
    <row r="16" ht="30" customHeight="1">
      <c r="A16" s="102" t="n">
        <v>10</v>
      </c>
      <c r="B16" s="102" t="inlineStr">
        <is>
          <t>Capital de giro volta a zero no fim do horizonte</t>
        </is>
      </c>
      <c r="C16" s="106">
        <f>SUM('5. Fluxo de Caixa'!C16:M16)-'5. Fluxo de Caixa'!M15</f>
        <v/>
      </c>
      <c r="D16" s="106">
        <f>0</f>
        <v/>
      </c>
      <c r="E16" s="106">
        <f>C16-D16</f>
        <v/>
      </c>
      <c r="F16" s="104">
        <f>IF(ABS(C16-D16)&lt;0.01,"OK","ERRO")</f>
        <v/>
      </c>
      <c r="G16" s="105" t="inlineStr">
        <is>
          <t>Tudo que entrou em giro tem de sair no ano 10. Na origem isso acontecia por acidente, porque uma célula estava vazia.</t>
        </is>
      </c>
    </row>
    <row r="17" ht="30" customHeight="1">
      <c r="A17" s="102" t="n">
        <v>11</v>
      </c>
      <c r="B17" s="102" t="inlineStr">
        <is>
          <t>VPL = soma do FCL descontado (recalculado)</t>
        </is>
      </c>
      <c r="C17" s="138">
        <f>'6. Valuation'!C18</f>
        <v/>
      </c>
      <c r="D17" s="106">
        <f>SUMPRODUCT('5. Fluxo de Caixa'!C28:M28,1/(1+'2. Inputs'!$C$81)^'5. Fluxo de Caixa'!C7:M7)</f>
        <v/>
      </c>
      <c r="E17" s="106">
        <f>C17-D17</f>
        <v/>
      </c>
      <c r="F17" s="104">
        <f>IF(ABS(C17-D17)&lt;0.01,"OK","ERRO")</f>
        <v/>
      </c>
      <c r="G17" s="105" t="inlineStr">
        <is>
          <t>Recalcula o VPL por SOMARPRODUTO, sem passar pela linha de fatores de desconto.</t>
        </is>
      </c>
    </row>
    <row r="18" ht="30" customHeight="1">
      <c r="A18" s="102" t="n">
        <v>12</v>
      </c>
      <c r="B18" s="102" t="inlineStr">
        <is>
          <t>TIR zera o VPL</t>
        </is>
      </c>
      <c r="C18" s="106">
        <f>SUMPRODUCT('5. Fluxo de Caixa'!C28:M28,1/(1+'6. Valuation'!C21)^'5. Fluxo de Caixa'!C7:M7)</f>
        <v/>
      </c>
      <c r="D18" s="106">
        <f>0</f>
        <v/>
      </c>
      <c r="E18" s="106">
        <f>C18-D18</f>
        <v/>
      </c>
      <c r="F18" s="104">
        <f>IF(ABS(C18-D18)&lt;0.01,"OK","ERRO")</f>
        <v/>
      </c>
      <c r="G18" s="105" t="inlineStr">
        <is>
          <t>Definição de TIR. Se não zerar, a função pegou o intervalo errado.</t>
        </is>
      </c>
    </row>
    <row r="19" ht="30" customHeight="1">
      <c r="A19" s="102" t="n">
        <v>13</v>
      </c>
      <c r="B19" s="102" t="inlineStr">
        <is>
          <t>Motor de cenários reproduz o VPL do modelo principal, no cenário ativo</t>
        </is>
      </c>
      <c r="C19" s="106">
        <f>INDEX('8. Motor de Cenarios'!$H$7:$H$9,'2. Inputs'!$C$5)</f>
        <v/>
      </c>
      <c r="D19" s="138">
        <f>'6. Valuation'!C18</f>
        <v/>
      </c>
      <c r="E19" s="106">
        <f>C19-D19</f>
        <v/>
      </c>
      <c r="F19" s="104">
        <f>IF(ABS(C19-D19)&lt;0.01,"OK","ERRO")</f>
        <v/>
      </c>
      <c r="G19" s="105" t="inlineStr">
        <is>
          <t>A camada de cenários é uma segunda implementação do mesmo modelo, escrita com outras fórmulas e sem passar por nenhuma aba intermediária. Se as duas não coincidirem, uma das duas está errada.</t>
        </is>
      </c>
    </row>
    <row r="20" ht="30" customHeight="1">
      <c r="A20" s="102" t="n">
        <v>14</v>
      </c>
      <c r="B20" s="102" t="inlineStr">
        <is>
          <t>Motor de cenários reproduz o EBITDA do ano 1, no cenário ativo</t>
        </is>
      </c>
      <c r="C20" s="106">
        <f>INDEX('8. Motor de Cenarios'!$J$7:$J$9,'2. Inputs'!$C$5)</f>
        <v/>
      </c>
      <c r="D20" s="138">
        <f>'4. DRE'!D39</f>
        <v/>
      </c>
      <c r="E20" s="106">
        <f>C20-D20</f>
        <v/>
      </c>
      <c r="F20" s="104">
        <f>IF(ABS(C20-D20)&lt;0.01,"OK","ERRO")</f>
        <v/>
      </c>
      <c r="G20" s="105" t="inlineStr">
        <is>
          <t>Mesmo raciocínio do check anterior, um nível acima do fluxo de caixa: pega erro de custo ou de preço que o VPL poderia compensar.</t>
        </is>
      </c>
    </row>
    <row r="21" ht="30" customHeight="1">
      <c r="A21" s="102" t="n">
        <v>15</v>
      </c>
      <c r="B21" s="102" t="inlineStr">
        <is>
          <t>Ponte de EBITDA fecha em todos os anos</t>
        </is>
      </c>
      <c r="C21" s="108">
        <f>COUNTIF('9. Ponte EBITDA'!E20:M20,"ERRO")</f>
        <v/>
      </c>
      <c r="D21" s="108">
        <f>0</f>
        <v/>
      </c>
      <c r="E21" s="108">
        <f>C21-D21</f>
        <v/>
      </c>
      <c r="F21" s="104">
        <f>IF(ABS(C21-D21)&lt;0.0000001,"OK","ERRO")</f>
        <v/>
      </c>
      <c r="G21" s="105" t="inlineStr">
        <is>
          <t>A decomposição volume x preço x mix x custo tem de somar exatamente o ΔEBITDA. Ponte que não fecha é ponte inventada.</t>
        </is>
      </c>
    </row>
    <row r="22" ht="30" customHeight="1">
      <c r="A22" s="102" t="n">
        <v>16</v>
      </c>
      <c r="B22" s="102" t="inlineStr">
        <is>
          <t>Ponte de VPL (origem -&gt; modelo) fecha</t>
        </is>
      </c>
      <c r="C22" s="108">
        <f>IF('6. Valuation'!C41="OK",0,1)</f>
        <v/>
      </c>
      <c r="D22" s="108">
        <f>0</f>
        <v/>
      </c>
      <c r="E22" s="108">
        <f>C22-D22</f>
        <v/>
      </c>
      <c r="F22" s="104">
        <f>IF(ABS(C22-D22)&lt;0.0000001,"OK","ERRO")</f>
        <v/>
      </c>
      <c r="G22" s="105" t="inlineStr">
        <is>
          <t>A ponte entre o VPL da planilha de faculdade e o VPL deste modelo tem de explicar o valor inteiro.</t>
        </is>
      </c>
    </row>
    <row r="23" ht="30" customHeight="1">
      <c r="A23" s="102" t="n">
        <v>17</v>
      </c>
      <c r="B23" s="102" t="inlineStr">
        <is>
          <t>Margem de contribuição unitária positiva em todos os anos</t>
        </is>
      </c>
      <c r="C23" s="108">
        <f>COUNTIF('4. DRE'!D55:M55,"&lt;=0")</f>
        <v/>
      </c>
      <c r="D23" s="108">
        <f>0</f>
        <v/>
      </c>
      <c r="E23" s="108">
        <f>C23-D23</f>
        <v/>
      </c>
      <c r="F23" s="104">
        <f>IF(ABS(C23-D23)&lt;0.0000001,"OK","ERRO")</f>
        <v/>
      </c>
      <c r="G23" s="105" t="inlineStr">
        <is>
          <t>Se em algum ano o preço não cobre o custo variável, vender mais piora o resultado — e todo o raciocínio de volume desaba.</t>
        </is>
      </c>
    </row>
    <row r="24" ht="30" customHeight="1">
      <c r="A24" s="102" t="n">
        <v>18</v>
      </c>
      <c r="B24" s="102" t="inlineStr">
        <is>
          <t>Imposto zero quando o EBIT é negativo</t>
        </is>
      </c>
      <c r="C24" s="108">
        <f>SUMPRODUCT(('4. DRE'!D42:M42&lt;0)*('4. DRE'!D44:M44&lt;0))</f>
        <v/>
      </c>
      <c r="D24" s="108">
        <f>0</f>
        <v/>
      </c>
      <c r="E24" s="108">
        <f>C24-D24</f>
        <v/>
      </c>
      <c r="F24" s="104">
        <f>IF(ABS(C24-D24)&lt;0.0000001,"OK","ERRO")</f>
        <v/>
      </c>
      <c r="G24" s="105" t="inlineStr">
        <is>
          <t>A fórmula da origem, (lucro-240000)*0,1, gerava crédito de imposto sobre prejuízo. Aqui não pode acontecer.</t>
        </is>
      </c>
    </row>
    <row r="25">
      <c r="A25" s="102" t="n">
        <v>19</v>
      </c>
      <c r="B25" s="102" t="inlineStr">
        <is>
          <t>Payback descontado: motor de cenários = aba Valuation</t>
        </is>
      </c>
      <c r="C25" s="128">
        <f>INDEX('8. Motor de Cenarios'!$M$7:$M$9,'2. Inputs'!$C$5)</f>
        <v/>
      </c>
      <c r="D25" s="140">
        <f>'6. Valuation'!C24</f>
        <v/>
      </c>
      <c r="E25" s="128">
        <f>IFERROR(C25-D25,0)</f>
        <v/>
      </c>
      <c r="F25" s="104">
        <f>IFERROR(IF(ABS(C25-D25)&lt;0.01,"OK","ERRO"),IF(C25=D25,"OK","ERRO"))</f>
        <v/>
      </c>
      <c r="G25" s="105" t="inlineStr">
        <is>
          <t>O motor descontava o acumulado e dividia pelo fluxo do ano SEM descontar — dois paybacks diferentes para o mesmo cenário. Este check amarra as duas implementações, como os checks 13 e 14 fazem com VPL e EBITDA.</t>
        </is>
      </c>
    </row>
  </sheetData>
  <mergeCells count="1">
    <mergeCell ref="C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2026-09-20T22:11:06Z</dcterms:created>
  <dcterms:modified xmlns:dcterms="http://purl.org/dc/terms/" xmlns:xsi="http://www.w3.org/2001/XMLSchema-instance" xsi:type="dcterms:W3CDTF">2026-09-21T02:48:11Z</dcterms:modified>
</cp:coreProperties>
</file>